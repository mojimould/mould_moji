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3AE57B07-0999-4B9B-BE50-FF0F61264236}" xr6:coauthVersionLast="47" xr6:coauthVersionMax="47" xr10:uidLastSave="{00000000-0000-0000-0000-000000000000}"/>
  <bookViews>
    <workbookView xWindow="38295" yWindow="3420" windowWidth="20910" windowHeight="11835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17" i="75" l="1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Z134" i="75" a="1"/>
  <c r="Z134" i="75" s="1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77" i="75"/>
  <c r="AF124" i="75"/>
  <c r="AF86" i="75" a="1"/>
  <c r="AF85" i="75" a="1"/>
  <c r="AF158" i="75"/>
  <c r="AF117" i="75"/>
  <c r="Z48" i="75"/>
  <c r="AF116" i="75"/>
  <c r="AF118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23" i="75"/>
  <c r="AF166" i="75"/>
  <c r="AF131" i="75"/>
  <c r="AF76" i="75"/>
  <c r="AF75" i="75"/>
  <c r="AF74" i="75"/>
  <c r="AF80" i="75"/>
  <c r="AF113" i="75"/>
  <c r="AF176" i="75"/>
  <c r="AF114" i="75"/>
  <c r="AF79" i="75"/>
  <c r="AF115" i="75"/>
  <c r="AF73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57" i="75"/>
  <c r="AF84" i="75" a="1"/>
  <c r="AF83" i="75" a="1"/>
  <c r="AF156" i="75"/>
  <c r="AF121" i="75"/>
  <c r="AF125" i="75"/>
  <c r="AF120" i="75"/>
  <c r="AF155" i="75"/>
  <c r="AF87" i="75" a="1"/>
  <c r="AF161" i="75"/>
  <c r="AF154" i="75"/>
  <c r="AF160" i="75"/>
  <c r="AF82" i="75" a="1"/>
  <c r="AF119" i="75"/>
  <c r="AF81" i="75" a="1"/>
  <c r="AF126" i="75"/>
  <c r="AF88" i="75" a="1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4" i="75"/>
  <c r="AF130" i="75"/>
  <c r="AF165" i="75"/>
  <c r="AF129" i="75"/>
  <c r="AF127" i="75"/>
  <c r="AF128" i="75"/>
  <c r="AF162" i="75"/>
  <c r="AF163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4" i="75"/>
  <c r="AF133" i="75"/>
  <c r="AF169" i="75"/>
  <c r="AF168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<sst xmlns="http://schemas.openxmlformats.org/spreadsheetml/2006/main" count="1330" uniqueCount="639">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</sst>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5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8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C2" sqref="C2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5.37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584</v>
      </c>
      <c r="D1" s="73" t="s">
        <v>578</v>
      </c>
      <c r="E1" s="73" t="s">
        <v>577</v>
      </c>
      <c r="H1" s="7"/>
      <c r="I1" s="8" t="s">
        <v>584</v>
      </c>
      <c r="J1" s="73" t="s">
        <v>578</v>
      </c>
      <c r="K1" s="73" t="s">
        <v>577</v>
      </c>
      <c r="N1" s="7"/>
      <c r="O1" s="8" t="s">
        <v>584</v>
      </c>
      <c r="P1" s="73" t="s">
        <v>578</v>
      </c>
      <c r="Q1" s="73" t="s">
        <v>577</v>
      </c>
      <c r="T1" s="7"/>
      <c r="U1" s="8" t="s">
        <v>584</v>
      </c>
      <c r="X1" s="4" t="s">
        <v>581</v>
      </c>
      <c r="AH1" s="4" t="s">
        <v>74</v>
      </c>
      <c r="AI1" s="3"/>
      <c r="AJ1" s="3"/>
    </row>
    <row r="2" spans="1:36" ht="15.75" thickTop="1" thickBot="1" x14ac:dyDescent="0.45">
      <c r="B2" s="74" t="s">
        <v>579</v>
      </c>
      <c r="C2" s="75"/>
      <c r="G2" s="3"/>
      <c r="H2" s="81" t="s">
        <v>630</v>
      </c>
      <c r="I2" s="82"/>
      <c r="J2" s="71"/>
      <c r="K2" s="71"/>
      <c r="M2" s="3"/>
      <c r="N2" s="88" t="s">
        <v>632</v>
      </c>
      <c r="O2" s="87"/>
      <c r="P2" s="71"/>
      <c r="Q2" s="71"/>
      <c r="S2" s="3"/>
      <c r="T2" s="22" t="s">
        <v>80</v>
      </c>
      <c r="U2" s="25"/>
      <c r="V2" s="71"/>
      <c r="X2" s="9" t="s">
        <v>582</v>
      </c>
      <c r="Y2" s="11" t="s">
        <v>75</v>
      </c>
      <c r="Z2" s="11" t="str">
        <f>"O" &amp; $C$2</f>
        <v>O</v>
      </c>
      <c r="AC2" s="3">
        <f t="shared" ref="AC2:AC98" si="0">ROW(AC2)</f>
        <v>2</v>
      </c>
      <c r="AD2" s="5" t="s">
        <v>513</v>
      </c>
      <c r="AE2" s="2" t="s">
        <v>432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638</v>
      </c>
      <c r="C3" s="94"/>
      <c r="G3" s="3"/>
      <c r="H3" s="78" t="s">
        <v>544</v>
      </c>
      <c r="I3" s="79"/>
      <c r="J3" s="71"/>
      <c r="K3" s="71"/>
      <c r="M3" s="3" t="s">
        <v>83</v>
      </c>
      <c r="N3" s="12" t="s">
        <v>373</v>
      </c>
      <c r="O3" s="13"/>
      <c r="P3" s="71"/>
      <c r="Q3" s="71"/>
      <c r="S3" s="3" t="s">
        <v>0</v>
      </c>
      <c r="T3" s="12" t="s">
        <v>332</v>
      </c>
      <c r="U3" s="17">
        <v>330</v>
      </c>
      <c r="V3" s="71"/>
      <c r="X3" s="9" t="s">
        <v>583</v>
      </c>
      <c r="Y3" s="11" t="s">
        <v>75</v>
      </c>
      <c r="Z3" s="11" t="str">
        <f ca="1">TEXT(TODAY(), "yyyymmdd")</f>
        <v>20241003</v>
      </c>
      <c r="AC3" s="3">
        <f t="shared" si="0"/>
        <v>3</v>
      </c>
      <c r="AD3" s="3" t="s">
        <v>575</v>
      </c>
      <c r="AE3" s="2" t="s">
        <v>576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558</v>
      </c>
      <c r="I4" s="56"/>
      <c r="J4" s="71"/>
      <c r="K4" s="71"/>
      <c r="M4" s="3" t="s">
        <v>110</v>
      </c>
      <c r="N4" s="12" t="s">
        <v>374</v>
      </c>
      <c r="O4" s="13"/>
      <c r="P4" s="71"/>
      <c r="Q4" s="71"/>
      <c r="S4" s="3" t="s">
        <v>1</v>
      </c>
      <c r="T4" s="12" t="s">
        <v>605</v>
      </c>
      <c r="U4" s="17">
        <v>40</v>
      </c>
      <c r="V4" s="71"/>
      <c r="W4" s="3" t="s">
        <v>95</v>
      </c>
      <c r="X4" s="9" t="s">
        <v>424</v>
      </c>
      <c r="Y4" s="11" t="s">
        <v>76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274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93</v>
      </c>
      <c r="G5" s="3"/>
      <c r="H5" s="12" t="s">
        <v>473</v>
      </c>
      <c r="I5" s="29"/>
      <c r="J5" s="72"/>
      <c r="K5" s="72"/>
      <c r="M5" s="3" t="s">
        <v>111</v>
      </c>
      <c r="N5" s="12" t="s">
        <v>375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96</v>
      </c>
      <c r="X5" s="9" t="s">
        <v>408</v>
      </c>
      <c r="Y5" s="11" t="s">
        <v>76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275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477</v>
      </c>
      <c r="C6" s="76"/>
      <c r="G6" s="3"/>
      <c r="H6" s="12" t="s">
        <v>326</v>
      </c>
      <c r="I6" s="29"/>
      <c r="J6" s="72"/>
      <c r="K6" s="72"/>
      <c r="M6" s="3" t="s">
        <v>209</v>
      </c>
      <c r="N6" s="12" t="s">
        <v>377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276</v>
      </c>
      <c r="AE6" s="45" t="s">
        <v>139</v>
      </c>
      <c r="AF6" s="2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595</v>
      </c>
      <c r="C7" s="79"/>
      <c r="G7" s="3"/>
      <c r="H7" s="12" t="s">
        <v>327</v>
      </c>
      <c r="I7" s="29"/>
      <c r="J7" s="72"/>
      <c r="K7" s="72"/>
      <c r="M7" s="3" t="s">
        <v>210</v>
      </c>
      <c r="N7" s="12" t="s">
        <v>378</v>
      </c>
      <c r="O7" s="13"/>
      <c r="P7" s="71"/>
      <c r="Q7" s="71"/>
      <c r="S7" s="3"/>
      <c r="T7" s="12" t="s">
        <v>415</v>
      </c>
      <c r="U7" s="33">
        <v>-739.55499999999995</v>
      </c>
      <c r="V7" s="71"/>
      <c r="X7" s="4" t="s">
        <v>580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94</v>
      </c>
      <c r="B8" s="12" t="s">
        <v>4</v>
      </c>
      <c r="C8" s="29"/>
      <c r="F8" s="2"/>
      <c r="G8" s="3"/>
      <c r="H8" s="12" t="s">
        <v>472</v>
      </c>
      <c r="I8" s="29"/>
      <c r="J8" s="72"/>
      <c r="K8" s="72"/>
      <c r="L8" s="2"/>
      <c r="M8" s="3" t="s">
        <v>87</v>
      </c>
      <c r="N8" s="12" t="s">
        <v>379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431</v>
      </c>
      <c r="Y8" s="6"/>
      <c r="Z8" s="37" t="s">
        <v>416</v>
      </c>
      <c r="AA8" s="3" t="s">
        <v>71</v>
      </c>
      <c r="AC8" s="3">
        <f t="shared" si="0"/>
        <v>8</v>
      </c>
      <c r="AD8" s="37" t="s">
        <v>511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576</v>
      </c>
      <c r="C9" s="29"/>
      <c r="D9" s="72"/>
      <c r="E9" s="72"/>
      <c r="F9" s="14"/>
      <c r="G9" s="3"/>
      <c r="H9" s="12" t="s">
        <v>474</v>
      </c>
      <c r="I9" s="29"/>
      <c r="J9" s="71"/>
      <c r="K9" s="71"/>
      <c r="L9" s="14"/>
      <c r="M9" s="3"/>
      <c r="N9" s="12" t="s">
        <v>380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137</v>
      </c>
      <c r="X9" s="9" t="s">
        <v>461</v>
      </c>
      <c r="Y9" s="11" t="s">
        <v>76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597</v>
      </c>
      <c r="AE9" s="45" t="s">
        <v>598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95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435</v>
      </c>
      <c r="O10" s="59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138</v>
      </c>
      <c r="X10" s="9" t="s">
        <v>462</v>
      </c>
      <c r="Y10" s="11" t="s">
        <v>76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599</v>
      </c>
      <c r="AE10" s="45" t="s">
        <v>600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585</v>
      </c>
      <c r="C11" s="56"/>
      <c r="G11" s="3"/>
      <c r="H11" s="81" t="s">
        <v>631</v>
      </c>
      <c r="I11" s="82"/>
      <c r="J11" s="71"/>
      <c r="K11" s="71"/>
      <c r="S11" s="3"/>
      <c r="T11" s="12" t="s">
        <v>318</v>
      </c>
      <c r="U11" s="17">
        <v>257</v>
      </c>
      <c r="V11" s="71"/>
      <c r="X11" s="9" t="s">
        <v>463</v>
      </c>
      <c r="Y11" s="11" t="s">
        <v>76</v>
      </c>
      <c r="Z11" s="27" t="e">
        <f>$Z$9-$U$3</f>
        <v>#NUM!</v>
      </c>
      <c r="AC11" s="3">
        <f t="shared" si="0"/>
        <v>11</v>
      </c>
      <c r="AD11" s="37" t="s">
        <v>274</v>
      </c>
      <c r="AE11" s="45" t="s">
        <v>601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137</v>
      </c>
      <c r="B12" s="12" t="s">
        <v>596</v>
      </c>
      <c r="C12" s="86"/>
      <c r="G12" s="3"/>
      <c r="H12" s="78" t="s">
        <v>562</v>
      </c>
      <c r="I12" s="79"/>
      <c r="J12" s="71"/>
      <c r="K12" s="71"/>
      <c r="S12" s="3"/>
      <c r="T12" s="12" t="s">
        <v>319</v>
      </c>
      <c r="U12" s="17">
        <v>247</v>
      </c>
      <c r="V12" s="71"/>
      <c r="X12" s="9" t="s">
        <v>464</v>
      </c>
      <c r="Y12" s="11" t="s">
        <v>76</v>
      </c>
      <c r="Z12" s="42" t="e">
        <f>$Z$10-$U$3</f>
        <v>#NUM!</v>
      </c>
      <c r="AC12" s="3">
        <f t="shared" si="0"/>
        <v>12</v>
      </c>
      <c r="AD12" s="37" t="s">
        <v>274</v>
      </c>
      <c r="AE12" s="45" t="s">
        <v>602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558</v>
      </c>
      <c r="I13" s="56"/>
      <c r="J13" s="71"/>
      <c r="K13" s="71"/>
      <c r="S13" s="3"/>
      <c r="T13" s="12" t="s">
        <v>393</v>
      </c>
      <c r="U13" s="34">
        <v>8</v>
      </c>
      <c r="V13" s="71"/>
      <c r="W13" s="3" t="s">
        <v>77</v>
      </c>
      <c r="X13" s="9" t="s">
        <v>465</v>
      </c>
      <c r="Y13" s="11" t="s">
        <v>77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97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470</v>
      </c>
      <c r="C14" s="23"/>
      <c r="G14" s="3"/>
      <c r="H14" s="12" t="s">
        <v>538</v>
      </c>
      <c r="I14" s="56"/>
      <c r="J14" s="71"/>
      <c r="K14" s="71"/>
      <c r="W14" s="3" t="s">
        <v>77</v>
      </c>
      <c r="X14" s="9" t="s">
        <v>360</v>
      </c>
      <c r="Y14" s="11" t="s">
        <v>77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98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347</v>
      </c>
      <c r="I15" s="29"/>
      <c r="J15" s="72"/>
      <c r="K15" s="72"/>
      <c r="M15" s="3"/>
      <c r="N15" s="91" t="s">
        <v>636</v>
      </c>
      <c r="O15" s="92"/>
      <c r="P15" s="71"/>
      <c r="Q15" s="71"/>
      <c r="S15" s="3"/>
      <c r="T15" s="4" t="s">
        <v>348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344</v>
      </c>
      <c r="I16" s="29"/>
      <c r="J16" s="72"/>
      <c r="K16" s="72"/>
      <c r="M16" s="3"/>
      <c r="N16" s="12" t="s">
        <v>547</v>
      </c>
      <c r="O16" s="29"/>
      <c r="P16" s="71"/>
      <c r="Q16" s="71"/>
      <c r="S16" s="3"/>
      <c r="T16" s="12" t="s">
        <v>625</v>
      </c>
      <c r="U16" s="58">
        <v>1</v>
      </c>
      <c r="V16" s="71"/>
      <c r="X16" s="22" t="s">
        <v>361</v>
      </c>
      <c r="Y16" s="24"/>
      <c r="Z16" s="25"/>
      <c r="AC16" s="3">
        <f t="shared" si="0"/>
        <v>16</v>
      </c>
      <c r="AD16" s="37" t="s">
        <v>586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469</v>
      </c>
      <c r="C17" s="13"/>
      <c r="G17" s="3"/>
      <c r="H17" s="12" t="s">
        <v>345</v>
      </c>
      <c r="I17" s="29"/>
      <c r="J17" s="72"/>
      <c r="K17" s="72"/>
      <c r="M17" s="3"/>
      <c r="N17" s="12" t="s">
        <v>548</v>
      </c>
      <c r="O17" s="29"/>
      <c r="P17" s="71"/>
      <c r="Q17" s="71"/>
      <c r="S17" s="3"/>
      <c r="T17" s="12" t="s">
        <v>349</v>
      </c>
      <c r="U17" s="58">
        <v>2</v>
      </c>
      <c r="V17" s="71"/>
      <c r="W17" s="3" t="s">
        <v>443</v>
      </c>
      <c r="X17" s="9" t="s">
        <v>358</v>
      </c>
      <c r="Y17" s="11" t="s">
        <v>79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587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346</v>
      </c>
      <c r="I18" s="29"/>
      <c r="J18" s="72"/>
      <c r="K18" s="72"/>
      <c r="M18" s="3"/>
      <c r="N18" s="12" t="s">
        <v>549</v>
      </c>
      <c r="O18" s="29"/>
      <c r="P18" s="71"/>
      <c r="Q18" s="71"/>
      <c r="S18" s="3"/>
      <c r="T18" s="12" t="s">
        <v>350</v>
      </c>
      <c r="U18" s="58">
        <v>6</v>
      </c>
      <c r="V18" s="71"/>
      <c r="W18" s="3" t="s">
        <v>443</v>
      </c>
      <c r="X18" s="9" t="s">
        <v>467</v>
      </c>
      <c r="Y18" s="11" t="s">
        <v>79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588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471</v>
      </c>
      <c r="C19" s="25"/>
      <c r="G19" s="3"/>
      <c r="H19" s="12" t="s">
        <v>343</v>
      </c>
      <c r="I19" s="29"/>
      <c r="J19" s="71"/>
      <c r="K19" s="71"/>
      <c r="M19" s="3"/>
      <c r="N19" s="12" t="s">
        <v>550</v>
      </c>
      <c r="O19" s="29"/>
      <c r="P19" s="71"/>
      <c r="Q19" s="71"/>
      <c r="S19" s="3"/>
      <c r="T19" s="12" t="s">
        <v>351</v>
      </c>
      <c r="U19" s="58">
        <v>8</v>
      </c>
      <c r="V19" s="71"/>
      <c r="W19" s="3" t="s">
        <v>443</v>
      </c>
      <c r="X19" s="9" t="s">
        <v>468</v>
      </c>
      <c r="Y19" s="11" t="s">
        <v>79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589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133</v>
      </c>
      <c r="B20" s="12" t="s">
        <v>15</v>
      </c>
      <c r="C20" s="13"/>
      <c r="G20" s="3"/>
      <c r="I20" s="5"/>
      <c r="J20" s="71"/>
      <c r="K20" s="71"/>
      <c r="M20" s="3"/>
      <c r="N20" s="12" t="s">
        <v>551</v>
      </c>
      <c r="O20" s="29"/>
      <c r="P20" s="71"/>
      <c r="Q20" s="71"/>
      <c r="S20" s="3"/>
      <c r="T20" s="12" t="s">
        <v>619</v>
      </c>
      <c r="U20" s="58">
        <v>11</v>
      </c>
      <c r="V20" s="71"/>
      <c r="W20" s="3" t="s">
        <v>445</v>
      </c>
      <c r="X20" s="9" t="s">
        <v>339</v>
      </c>
      <c r="Y20" s="11" t="s">
        <v>79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590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134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620</v>
      </c>
      <c r="U21" s="58">
        <v>12</v>
      </c>
      <c r="V21" s="71"/>
      <c r="W21" s="3" t="s">
        <v>446</v>
      </c>
      <c r="X21" s="9" t="s">
        <v>359</v>
      </c>
      <c r="Y21" s="11" t="s">
        <v>79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472</v>
      </c>
      <c r="AF21" s="2">
        <f>$I$8+($J$8+$K$8)/2</f>
        <v>0</v>
      </c>
      <c r="AH21" s="10" t="s">
        <v>370</v>
      </c>
      <c r="AI21" s="26" t="e">
        <f>$O$6/$O$5+1</f>
        <v>#DIV/0!</v>
      </c>
    </row>
    <row r="22" spans="1:36" x14ac:dyDescent="0.4">
      <c r="B22" s="84" t="s">
        <v>616</v>
      </c>
      <c r="C22" s="85">
        <v>0</v>
      </c>
      <c r="G22" s="3"/>
      <c r="H22" s="12" t="s">
        <v>333</v>
      </c>
      <c r="I22" s="51"/>
      <c r="J22" s="71"/>
      <c r="K22" s="71"/>
      <c r="M22" s="3"/>
      <c r="N22" s="91" t="s">
        <v>637</v>
      </c>
      <c r="O22" s="92"/>
      <c r="P22" s="71"/>
      <c r="Q22" s="71"/>
      <c r="S22" s="3"/>
      <c r="T22" s="12" t="s">
        <v>621</v>
      </c>
      <c r="U22" s="58">
        <v>13</v>
      </c>
      <c r="V22" s="71"/>
      <c r="W22" s="3" t="s">
        <v>446</v>
      </c>
      <c r="X22" s="9" t="str">
        <f>"G56 トップ外削中心（ボトム基準）" &amp; IF($I$2&lt;&gt;0, "&amp; G58 溝中心", "")</f>
        <v>G56 トップ外削中心（ボトム基準）</v>
      </c>
      <c r="Y22" s="11" t="s">
        <v>79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591</v>
      </c>
      <c r="AF22" s="2">
        <f>$I$16+($J$16+$K$16)/2</f>
        <v>0</v>
      </c>
      <c r="AH22" s="10" t="s">
        <v>371</v>
      </c>
      <c r="AI22" s="26" t="e">
        <f>$O$7/$O$5+1</f>
        <v>#DIV/0!</v>
      </c>
    </row>
    <row r="23" spans="1:36" x14ac:dyDescent="0.4">
      <c r="G23" s="3"/>
      <c r="H23" s="12" t="s">
        <v>509</v>
      </c>
      <c r="I23" s="29"/>
      <c r="J23" s="72"/>
      <c r="K23" s="72"/>
      <c r="M23" s="3"/>
      <c r="N23" s="12" t="s">
        <v>563</v>
      </c>
      <c r="O23" s="29"/>
      <c r="P23" s="71"/>
      <c r="Q23" s="71"/>
      <c r="S23" s="3"/>
      <c r="T23" s="12" t="s">
        <v>352</v>
      </c>
      <c r="U23" s="58">
        <v>16</v>
      </c>
      <c r="V23" s="71"/>
      <c r="W23" s="3" t="s">
        <v>446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79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592</v>
      </c>
      <c r="AF23" s="2">
        <f>$I$17+($J$17+$K$17)/2</f>
        <v>0</v>
      </c>
      <c r="AH23" s="10" t="s">
        <v>372</v>
      </c>
      <c r="AI23" s="10" t="e">
        <f>DEGREES($AF$89)</f>
        <v>#VALUE!</v>
      </c>
    </row>
    <row r="24" spans="1:36" x14ac:dyDescent="0.4">
      <c r="M24" s="3"/>
      <c r="N24" s="12" t="s">
        <v>564</v>
      </c>
      <c r="O24" s="29"/>
      <c r="P24" s="71"/>
      <c r="Q24" s="71"/>
      <c r="S24" s="3"/>
      <c r="T24" s="12" t="s">
        <v>603</v>
      </c>
      <c r="U24" s="58"/>
      <c r="V24" s="71"/>
      <c r="W24" s="3" t="s">
        <v>447</v>
      </c>
      <c r="X24" s="9" t="s">
        <v>340</v>
      </c>
      <c r="Y24" s="11" t="s">
        <v>79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593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565</v>
      </c>
      <c r="O25" s="29"/>
      <c r="P25" s="71"/>
      <c r="Q25" s="71"/>
      <c r="S25" s="3"/>
      <c r="T25" s="12" t="s">
        <v>353</v>
      </c>
      <c r="U25" s="58">
        <v>31</v>
      </c>
      <c r="V25" s="71"/>
      <c r="W25" s="3" t="s">
        <v>512</v>
      </c>
      <c r="X25" s="10" t="s">
        <v>541</v>
      </c>
      <c r="Y25" s="27" t="s">
        <v>79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346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629</v>
      </c>
      <c r="I26" s="52"/>
      <c r="J26" s="71"/>
      <c r="K26" s="71"/>
      <c r="M26" s="3"/>
      <c r="N26" s="12" t="s">
        <v>566</v>
      </c>
      <c r="O26" s="29"/>
      <c r="P26" s="71"/>
      <c r="Q26" s="71"/>
      <c r="S26" s="3"/>
      <c r="T26" s="12" t="s">
        <v>354</v>
      </c>
      <c r="U26" s="58">
        <v>32</v>
      </c>
      <c r="V26" s="71"/>
      <c r="W26" s="3" t="s">
        <v>512</v>
      </c>
      <c r="X26" s="10" t="s">
        <v>523</v>
      </c>
      <c r="Y26" s="27" t="s">
        <v>79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99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542</v>
      </c>
      <c r="I27" s="52"/>
      <c r="J27" s="71"/>
      <c r="K27" s="71"/>
      <c r="S27" s="3"/>
      <c r="T27" s="12" t="s">
        <v>355</v>
      </c>
      <c r="U27" s="58">
        <v>33</v>
      </c>
      <c r="V27" s="71"/>
      <c r="W27" s="3" t="s">
        <v>444</v>
      </c>
      <c r="X27" s="9" t="s">
        <v>8</v>
      </c>
      <c r="Y27" s="11" t="s">
        <v>78</v>
      </c>
      <c r="Z27" s="27">
        <f>$AF$17</f>
        <v>0</v>
      </c>
      <c r="AA27" s="44"/>
      <c r="AC27" s="3">
        <f t="shared" si="0"/>
        <v>27</v>
      </c>
      <c r="AD27" s="37" t="s">
        <v>100</v>
      </c>
      <c r="AE27" s="45" t="s">
        <v>12</v>
      </c>
      <c r="AF27" s="2">
        <f>$C$8+$AF$16/2</f>
        <v>0</v>
      </c>
      <c r="AH27" s="2"/>
      <c r="AI27" s="1">
        <v>8.35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356</v>
      </c>
      <c r="U28" s="58">
        <v>36</v>
      </c>
      <c r="V28" s="71"/>
      <c r="Z28" s="5"/>
      <c r="AA28" s="5"/>
      <c r="AC28" s="3">
        <f t="shared" si="0"/>
        <v>28</v>
      </c>
      <c r="AD28" s="37" t="s">
        <v>101</v>
      </c>
      <c r="AE28" s="45" t="s">
        <v>278</v>
      </c>
      <c r="AF28" s="2">
        <f>($Z$5-$Z$4)/2</f>
        <v>0</v>
      </c>
      <c r="AH28" s="2"/>
    </row>
    <row r="29" spans="1:36" x14ac:dyDescent="0.4">
      <c r="G29" s="3"/>
      <c r="H29" s="12" t="s">
        <v>441</v>
      </c>
      <c r="I29" s="13"/>
      <c r="J29" s="72"/>
      <c r="K29" s="72"/>
      <c r="S29" s="3"/>
      <c r="T29" s="12" t="s">
        <v>357</v>
      </c>
      <c r="U29" s="58">
        <v>41</v>
      </c>
      <c r="V29" s="71"/>
      <c r="X29" s="22" t="s">
        <v>411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302</v>
      </c>
      <c r="H30" s="12" t="s">
        <v>30</v>
      </c>
      <c r="I30" s="13"/>
      <c r="J30" s="72"/>
      <c r="K30" s="72"/>
      <c r="S30" s="3"/>
      <c r="T30" s="12" t="s">
        <v>604</v>
      </c>
      <c r="U30" s="58">
        <v>50</v>
      </c>
      <c r="V30" s="71"/>
      <c r="W30" s="3" t="s">
        <v>466</v>
      </c>
      <c r="X30" s="9" t="s">
        <v>362</v>
      </c>
      <c r="Y30" s="11" t="s">
        <v>75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594</v>
      </c>
      <c r="AE30" s="45" t="s">
        <v>64</v>
      </c>
      <c r="AF30" s="2" t="e">
        <f>$AF$28/$AF$29</f>
        <v>#NUM!</v>
      </c>
    </row>
    <row r="31" spans="1:36" x14ac:dyDescent="0.4">
      <c r="G31" s="3" t="s">
        <v>303</v>
      </c>
      <c r="H31" s="12" t="s">
        <v>31</v>
      </c>
      <c r="I31" s="13"/>
      <c r="J31" s="72"/>
      <c r="K31" s="72"/>
      <c r="W31" s="3" t="s">
        <v>79</v>
      </c>
      <c r="X31" s="9" t="s">
        <v>57</v>
      </c>
      <c r="Y31" s="11" t="s">
        <v>79</v>
      </c>
      <c r="Z31" s="27">
        <f>$AF$16</f>
        <v>0</v>
      </c>
      <c r="AC31" s="3">
        <f t="shared" si="0"/>
        <v>31</v>
      </c>
      <c r="AD31" s="37" t="s">
        <v>102</v>
      </c>
      <c r="AE31" s="45" t="s">
        <v>24</v>
      </c>
      <c r="AF31" s="2">
        <f>SQRT($C$8^2-$Z$4^2)</f>
        <v>0</v>
      </c>
    </row>
    <row r="32" spans="1:36" x14ac:dyDescent="0.4">
      <c r="G32" s="3" t="s">
        <v>313</v>
      </c>
      <c r="H32" s="12" t="s">
        <v>543</v>
      </c>
      <c r="I32" s="29"/>
      <c r="J32" s="72"/>
      <c r="K32" s="72"/>
      <c r="S32" s="3"/>
      <c r="T32" s="4" t="s">
        <v>362</v>
      </c>
      <c r="U32" s="5"/>
      <c r="V32" s="71"/>
      <c r="W32" s="3" t="s">
        <v>79</v>
      </c>
      <c r="X32" s="9" t="s">
        <v>410</v>
      </c>
      <c r="Y32" s="11" t="s">
        <v>79</v>
      </c>
      <c r="Z32" s="27">
        <f>$AF$18</f>
        <v>0</v>
      </c>
      <c r="AC32" s="3">
        <f t="shared" si="0"/>
        <v>32</v>
      </c>
      <c r="AD32" s="37" t="s">
        <v>103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612</v>
      </c>
      <c r="I33" s="29"/>
      <c r="J33" s="71"/>
      <c r="K33" s="71"/>
      <c r="S33" s="3"/>
      <c r="T33" s="12" t="s">
        <v>363</v>
      </c>
      <c r="U33" s="58">
        <v>110001</v>
      </c>
      <c r="V33" s="71"/>
      <c r="W33" s="3" t="s">
        <v>453</v>
      </c>
      <c r="X33" s="9" t="s">
        <v>84</v>
      </c>
      <c r="Y33" s="11" t="s">
        <v>79</v>
      </c>
      <c r="Z33" s="27" t="e">
        <f ca="1">$AF$116</f>
        <v>#REF!</v>
      </c>
      <c r="AC33" s="3">
        <f t="shared" si="0"/>
        <v>33</v>
      </c>
      <c r="AD33" s="37" t="s">
        <v>104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614</v>
      </c>
      <c r="I34" s="29"/>
      <c r="J34" s="71"/>
      <c r="K34" s="71"/>
      <c r="S34" s="3"/>
      <c r="T34" s="12" t="s">
        <v>364</v>
      </c>
      <c r="U34" s="58">
        <v>110002</v>
      </c>
      <c r="V34" s="71"/>
      <c r="W34" s="3" t="s">
        <v>76</v>
      </c>
      <c r="X34" s="9" t="s">
        <v>409</v>
      </c>
      <c r="Y34" s="11" t="s">
        <v>76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105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613</v>
      </c>
      <c r="I35" s="29"/>
      <c r="J35" s="71"/>
      <c r="K35" s="71"/>
      <c r="S35" s="3"/>
      <c r="T35" s="12" t="s">
        <v>365</v>
      </c>
      <c r="U35" s="58">
        <v>120001</v>
      </c>
      <c r="V35" s="71"/>
      <c r="W35" s="3" t="s">
        <v>448</v>
      </c>
      <c r="X35" s="9" t="s">
        <v>408</v>
      </c>
      <c r="Y35" s="11" t="s">
        <v>76</v>
      </c>
      <c r="Z35" s="27">
        <f>$Z$5</f>
        <v>0</v>
      </c>
      <c r="AA35" s="44"/>
      <c r="AC35" s="3">
        <f t="shared" si="0"/>
        <v>35</v>
      </c>
      <c r="AD35" s="37" t="s">
        <v>106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615</v>
      </c>
      <c r="I36" s="29"/>
      <c r="J36" s="71"/>
      <c r="K36" s="71"/>
      <c r="S36" s="3"/>
      <c r="T36" s="12" t="s">
        <v>366</v>
      </c>
      <c r="U36" s="58">
        <v>130001</v>
      </c>
      <c r="V36" s="71"/>
      <c r="W36" s="3" t="s">
        <v>449</v>
      </c>
      <c r="X36" s="9" t="s">
        <v>412</v>
      </c>
      <c r="Y36" s="11" t="s">
        <v>79</v>
      </c>
      <c r="Z36" s="27">
        <f>$AF$20</f>
        <v>0</v>
      </c>
      <c r="AC36" s="3">
        <f t="shared" si="0"/>
        <v>36</v>
      </c>
      <c r="AD36" s="37" t="s">
        <v>107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334</v>
      </c>
      <c r="I37" s="83"/>
      <c r="J37" s="71"/>
      <c r="K37" s="71"/>
      <c r="S37" s="3"/>
      <c r="T37" s="12" t="s">
        <v>367</v>
      </c>
      <c r="U37" s="58">
        <v>130002</v>
      </c>
      <c r="V37" s="71"/>
      <c r="W37" s="3" t="s">
        <v>450</v>
      </c>
      <c r="X37" s="9" t="s">
        <v>413</v>
      </c>
      <c r="Y37" s="11" t="s">
        <v>76</v>
      </c>
      <c r="Z37" s="27">
        <f>$I$47</f>
        <v>0</v>
      </c>
      <c r="AC37" s="3">
        <f t="shared" si="0"/>
        <v>37</v>
      </c>
      <c r="AD37" s="37" t="s">
        <v>269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335</v>
      </c>
      <c r="I38" s="13"/>
      <c r="J38" s="71"/>
      <c r="K38" s="71"/>
      <c r="S38" s="3"/>
      <c r="T38" s="12" t="s">
        <v>368</v>
      </c>
      <c r="U38" s="58">
        <v>140001</v>
      </c>
      <c r="V38" s="71"/>
      <c r="W38" s="3" t="s">
        <v>451</v>
      </c>
      <c r="X38" s="9" t="s">
        <v>4</v>
      </c>
      <c r="Y38" s="11" t="s">
        <v>75</v>
      </c>
      <c r="Z38" s="27">
        <f>$C$8</f>
        <v>0</v>
      </c>
      <c r="AC38" s="3">
        <f t="shared" si="0"/>
        <v>38</v>
      </c>
      <c r="AD38" s="37" t="s">
        <v>270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561</v>
      </c>
      <c r="U39" s="58">
        <v>150002</v>
      </c>
      <c r="V39" s="71"/>
      <c r="W39" s="3" t="s">
        <v>452</v>
      </c>
      <c r="X39" s="9" t="s">
        <v>414</v>
      </c>
      <c r="Y39" s="11" t="s">
        <v>75</v>
      </c>
      <c r="Z39" s="27">
        <f>$C$20</f>
        <v>0</v>
      </c>
      <c r="AA39" s="5"/>
      <c r="AC39" s="3">
        <f t="shared" si="0"/>
        <v>39</v>
      </c>
      <c r="AD39" s="37" t="s">
        <v>108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633</v>
      </c>
      <c r="I40" s="5"/>
      <c r="J40" s="71"/>
      <c r="K40" s="71"/>
      <c r="S40" s="3"/>
      <c r="T40" s="12" t="s">
        <v>617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109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635</v>
      </c>
      <c r="I41" s="56"/>
      <c r="J41" s="71"/>
      <c r="K41" s="71"/>
      <c r="S41" s="3"/>
      <c r="T41" s="12" t="s">
        <v>402</v>
      </c>
      <c r="U41" s="58">
        <v>210003</v>
      </c>
      <c r="V41" s="71"/>
      <c r="X41" s="4" t="s">
        <v>417</v>
      </c>
      <c r="Y41" s="6"/>
      <c r="Z41" s="5"/>
      <c r="AC41" s="3">
        <f t="shared" si="0"/>
        <v>41</v>
      </c>
      <c r="AD41" s="37" t="s">
        <v>295</v>
      </c>
      <c r="AE41" s="45" t="s">
        <v>297</v>
      </c>
      <c r="AF41" s="2">
        <f>$Z$195+$Z$196</f>
        <v>0</v>
      </c>
    </row>
    <row r="42" spans="6:34" x14ac:dyDescent="0.4">
      <c r="F42" s="14"/>
      <c r="G42" s="3"/>
      <c r="H42" s="12" t="s">
        <v>634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403</v>
      </c>
      <c r="U42" s="58">
        <v>410000</v>
      </c>
      <c r="V42" s="71"/>
      <c r="W42" s="3" t="s">
        <v>466</v>
      </c>
      <c r="X42" s="9" t="s">
        <v>362</v>
      </c>
      <c r="Y42" s="11" t="s">
        <v>75</v>
      </c>
      <c r="Z42" s="57">
        <f>IF($I$2&lt;&gt;1, $U$34, "")</f>
        <v>110002</v>
      </c>
      <c r="AC42" s="3">
        <f t="shared" si="0"/>
        <v>42</v>
      </c>
      <c r="AD42" s="37" t="s">
        <v>296</v>
      </c>
      <c r="AE42" s="45" t="s">
        <v>300</v>
      </c>
      <c r="AF42" s="2">
        <f>$Z$4-$AF$41</f>
        <v>0</v>
      </c>
    </row>
    <row r="43" spans="6:34" x14ac:dyDescent="0.4">
      <c r="F43" s="14"/>
      <c r="G43" s="3"/>
      <c r="H43" s="12" t="s">
        <v>336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404</v>
      </c>
      <c r="U43" s="58">
        <v>420000</v>
      </c>
      <c r="V43" s="71"/>
      <c r="W43" s="3" t="s">
        <v>78</v>
      </c>
      <c r="X43" s="9" t="s">
        <v>8</v>
      </c>
      <c r="Y43" s="11" t="s">
        <v>78</v>
      </c>
      <c r="Z43" s="27">
        <f>$AF$17</f>
        <v>0</v>
      </c>
      <c r="AC43" s="3">
        <f t="shared" si="0"/>
        <v>43</v>
      </c>
      <c r="AD43" s="37" t="s">
        <v>299</v>
      </c>
      <c r="AE43" s="45" t="s">
        <v>301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559</v>
      </c>
      <c r="U44" s="58">
        <v>421000</v>
      </c>
      <c r="V44" s="71"/>
      <c r="W44" s="3" t="s">
        <v>76</v>
      </c>
      <c r="X44" s="9" t="s">
        <v>409</v>
      </c>
      <c r="Y44" s="11" t="s">
        <v>76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518</v>
      </c>
      <c r="AE44" s="45" t="s">
        <v>521</v>
      </c>
      <c r="AF44" s="2">
        <f>$AF$47-$AF$32</f>
        <v>0</v>
      </c>
    </row>
    <row r="45" spans="6:34" x14ac:dyDescent="0.4">
      <c r="F45" s="2"/>
      <c r="G45" s="3"/>
      <c r="H45" s="89" t="s">
        <v>328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405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520</v>
      </c>
      <c r="AE45" s="45" t="s">
        <v>519</v>
      </c>
      <c r="AF45" s="2">
        <f>$AF$46-$AF$31</f>
        <v>0</v>
      </c>
    </row>
    <row r="46" spans="6:34" x14ac:dyDescent="0.4">
      <c r="F46" s="2"/>
      <c r="G46" s="3"/>
      <c r="H46" s="12" t="s">
        <v>635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406</v>
      </c>
      <c r="U46" s="58">
        <v>440000</v>
      </c>
      <c r="V46" s="71"/>
      <c r="X46" s="4" t="s">
        <v>418</v>
      </c>
      <c r="Y46" s="6"/>
      <c r="Z46" s="5"/>
      <c r="AC46" s="3">
        <f t="shared" si="0"/>
        <v>46</v>
      </c>
      <c r="AD46" s="37" t="s">
        <v>271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337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618</v>
      </c>
      <c r="U47" s="58">
        <v>441000</v>
      </c>
      <c r="V47" s="71"/>
      <c r="W47" s="3" t="s">
        <v>466</v>
      </c>
      <c r="X47" s="9" t="s">
        <v>362</v>
      </c>
      <c r="Y47" s="11" t="s">
        <v>75</v>
      </c>
      <c r="Z47" s="57">
        <f>$U$36</f>
        <v>130001</v>
      </c>
      <c r="AC47" s="3">
        <f t="shared" si="0"/>
        <v>47</v>
      </c>
      <c r="AD47" s="37" t="s">
        <v>272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338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407</v>
      </c>
      <c r="U48" s="58">
        <v>450000</v>
      </c>
      <c r="V48" s="71"/>
      <c r="W48" s="3" t="s">
        <v>79</v>
      </c>
      <c r="X48" s="9" t="s">
        <v>84</v>
      </c>
      <c r="Y48" s="11" t="s">
        <v>79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273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553</v>
      </c>
      <c r="U49" s="58">
        <v>460000</v>
      </c>
      <c r="V49" s="71"/>
      <c r="W49" s="3" t="s">
        <v>76</v>
      </c>
      <c r="X49" s="9" t="s">
        <v>409</v>
      </c>
      <c r="Y49" s="11" t="s">
        <v>76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293</v>
      </c>
      <c r="AE49" s="45" t="s">
        <v>294</v>
      </c>
      <c r="AF49" s="2">
        <f>SQRT($AF$27^2-$AF$42^2)</f>
        <v>0</v>
      </c>
    </row>
    <row r="50" spans="7:32" x14ac:dyDescent="0.4">
      <c r="G50" s="3"/>
      <c r="H50" s="89" t="s">
        <v>329</v>
      </c>
      <c r="I50" s="5"/>
      <c r="J50" s="71"/>
      <c r="K50" s="71"/>
      <c r="S50" s="3"/>
      <c r="T50" s="12" t="s">
        <v>568</v>
      </c>
      <c r="U50" s="58">
        <v>470000</v>
      </c>
      <c r="V50" s="71"/>
      <c r="W50" s="3" t="s">
        <v>448</v>
      </c>
      <c r="X50" s="9" t="s">
        <v>408</v>
      </c>
      <c r="Y50" s="11" t="s">
        <v>76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298</v>
      </c>
      <c r="AE50" s="45" t="s">
        <v>316</v>
      </c>
      <c r="AF50" s="2">
        <f>SQRT($AF$27^2-$AF$43^2)</f>
        <v>0</v>
      </c>
    </row>
    <row r="51" spans="7:32" x14ac:dyDescent="0.4">
      <c r="G51" s="3"/>
      <c r="H51" s="12" t="s">
        <v>635</v>
      </c>
      <c r="I51" s="52"/>
      <c r="J51" s="71"/>
      <c r="K51" s="71"/>
      <c r="S51" s="3"/>
      <c r="T51" s="12" t="s">
        <v>622</v>
      </c>
      <c r="U51" s="58">
        <v>900003</v>
      </c>
      <c r="V51" s="71"/>
      <c r="W51" s="3" t="s">
        <v>451</v>
      </c>
      <c r="X51" s="9" t="s">
        <v>4</v>
      </c>
      <c r="Y51" s="11" t="s">
        <v>75</v>
      </c>
      <c r="Z51" s="27">
        <f>$C$8</f>
        <v>0</v>
      </c>
      <c r="AC51" s="3">
        <f t="shared" si="0"/>
        <v>51</v>
      </c>
      <c r="AD51" s="37" t="s">
        <v>304</v>
      </c>
      <c r="AE51" s="45" t="s">
        <v>306</v>
      </c>
      <c r="AF51" s="2" t="e">
        <f>($AF$49-$AF$50)/$Z$196</f>
        <v>#DIV/0!</v>
      </c>
    </row>
    <row r="52" spans="7:32" x14ac:dyDescent="0.4">
      <c r="G52" s="3"/>
      <c r="H52" s="12" t="s">
        <v>341</v>
      </c>
      <c r="I52" s="13"/>
      <c r="J52" s="71"/>
      <c r="K52" s="71"/>
      <c r="S52" s="3"/>
      <c r="T52" s="12" t="s">
        <v>623</v>
      </c>
      <c r="U52" s="58">
        <v>910001</v>
      </c>
      <c r="V52" s="71"/>
      <c r="W52" s="3" t="s">
        <v>452</v>
      </c>
      <c r="X52" s="9" t="s">
        <v>414</v>
      </c>
      <c r="Y52" s="11" t="s">
        <v>75</v>
      </c>
      <c r="Z52" s="27">
        <f>$C$20</f>
        <v>0</v>
      </c>
      <c r="AA52" s="5"/>
      <c r="AC52" s="3">
        <f t="shared" si="0"/>
        <v>52</v>
      </c>
      <c r="AD52" s="37" t="s">
        <v>305</v>
      </c>
      <c r="AE52" s="45" t="s">
        <v>307</v>
      </c>
      <c r="AF52" s="2" t="e">
        <f>SIN(ATAN($AF$51))</f>
        <v>#DIV/0!</v>
      </c>
    </row>
    <row r="53" spans="7:32" x14ac:dyDescent="0.4">
      <c r="G53" s="3"/>
      <c r="H53" s="12" t="s">
        <v>342</v>
      </c>
      <c r="I53" s="52"/>
      <c r="J53" s="71"/>
      <c r="K53" s="71"/>
      <c r="S53" s="3"/>
      <c r="T53" s="12" t="s">
        <v>624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308</v>
      </c>
      <c r="AE53" s="45" t="s">
        <v>309</v>
      </c>
      <c r="AF53" s="2" t="e">
        <f>COS(ATAN($AF$51))</f>
        <v>#DIV/0!</v>
      </c>
    </row>
    <row r="54" spans="7:32" x14ac:dyDescent="0.4">
      <c r="X54" s="4" t="s">
        <v>419</v>
      </c>
      <c r="Y54" s="6"/>
      <c r="Z54" s="5"/>
      <c r="AC54" s="3">
        <f t="shared" si="0"/>
        <v>54</v>
      </c>
      <c r="AD54" s="37" t="s">
        <v>315</v>
      </c>
      <c r="AF54" s="2" t="e">
        <f>2*$AF$53/(1+$AF$53^2)</f>
        <v>#DIV/0!</v>
      </c>
    </row>
    <row r="55" spans="7:32" x14ac:dyDescent="0.4">
      <c r="G55" s="3"/>
      <c r="H55" s="89" t="s">
        <v>330</v>
      </c>
      <c r="I55" s="5"/>
      <c r="J55" s="71"/>
      <c r="K55" s="71"/>
      <c r="W55" s="3" t="s">
        <v>466</v>
      </c>
      <c r="X55" s="9" t="s">
        <v>362</v>
      </c>
      <c r="Y55" s="11" t="s">
        <v>75</v>
      </c>
      <c r="Z55" s="57">
        <f>$U$37</f>
        <v>130002</v>
      </c>
      <c r="AC55" s="3">
        <f>ROW(AC55)</f>
        <v>55</v>
      </c>
      <c r="AD55" s="37" t="s">
        <v>310</v>
      </c>
      <c r="AE55" s="45" t="s">
        <v>317</v>
      </c>
      <c r="AF55" s="2">
        <f>$AF$47-$AF$50</f>
        <v>0</v>
      </c>
    </row>
    <row r="56" spans="7:32" x14ac:dyDescent="0.4">
      <c r="G56" s="3"/>
      <c r="H56" s="12" t="s">
        <v>635</v>
      </c>
      <c r="I56" s="56"/>
      <c r="J56" s="71"/>
      <c r="K56" s="71"/>
      <c r="W56" s="3" t="s">
        <v>78</v>
      </c>
      <c r="X56" s="9" t="s">
        <v>420</v>
      </c>
      <c r="Y56" s="11" t="s">
        <v>78</v>
      </c>
      <c r="Z56" s="27" t="e">
        <f ca="1">$AF$117</f>
        <v>#REF!</v>
      </c>
      <c r="AC56" s="3">
        <f t="shared" si="0"/>
        <v>56</v>
      </c>
      <c r="AD56" s="37" t="s">
        <v>311</v>
      </c>
      <c r="AF56" s="2" t="e">
        <f>$Z$196*$AF$52/2</f>
        <v>#DIV/0!</v>
      </c>
    </row>
    <row r="57" spans="7:32" x14ac:dyDescent="0.4">
      <c r="G57" s="3"/>
      <c r="H57" s="12" t="s">
        <v>331</v>
      </c>
      <c r="I57" s="13"/>
      <c r="J57" s="71"/>
      <c r="K57" s="71"/>
      <c r="W57" s="3" t="s">
        <v>76</v>
      </c>
      <c r="X57" s="9" t="s">
        <v>409</v>
      </c>
      <c r="Y57" s="11" t="s">
        <v>76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312</v>
      </c>
      <c r="AE57" s="45" t="s">
        <v>314</v>
      </c>
      <c r="AF57" s="2" t="e">
        <f>$AF$54*($Z$106-$AF$56)+$AF$55</f>
        <v>#DIV/0!</v>
      </c>
    </row>
    <row r="58" spans="7:32" x14ac:dyDescent="0.4">
      <c r="G58" s="3"/>
      <c r="H58" s="12" t="s">
        <v>81</v>
      </c>
      <c r="I58" s="52"/>
      <c r="J58" s="71"/>
      <c r="K58" s="71"/>
      <c r="W58" s="3" t="s">
        <v>452</v>
      </c>
      <c r="X58" s="9" t="s">
        <v>414</v>
      </c>
      <c r="Y58" s="11" t="s">
        <v>75</v>
      </c>
      <c r="Z58" s="27">
        <f>$C$20</f>
        <v>0</v>
      </c>
      <c r="AA58" s="5"/>
      <c r="AC58" s="3">
        <f t="shared" si="0"/>
        <v>58</v>
      </c>
      <c r="AD58" s="37" t="s">
        <v>627</v>
      </c>
      <c r="AE58" s="45" t="s">
        <v>628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606</v>
      </c>
      <c r="AE59" s="45" t="s">
        <v>279</v>
      </c>
      <c r="AF59" s="2">
        <f>$Z$5-$I$47</f>
        <v>0</v>
      </c>
    </row>
    <row r="60" spans="7:32" x14ac:dyDescent="0.4">
      <c r="X60" s="70" t="s">
        <v>527</v>
      </c>
      <c r="Y60" s="11"/>
      <c r="Z60" s="27" t="s">
        <v>528</v>
      </c>
      <c r="AA60" s="27" t="s">
        <v>529</v>
      </c>
      <c r="AC60" s="3">
        <f t="shared" si="0"/>
        <v>60</v>
      </c>
      <c r="AD60" s="37" t="s">
        <v>607</v>
      </c>
      <c r="AE60" s="45" t="s">
        <v>280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608</v>
      </c>
      <c r="AF61" s="2">
        <f>AF60-AF34</f>
        <v>0</v>
      </c>
    </row>
    <row r="62" spans="7:32" x14ac:dyDescent="0.4">
      <c r="X62" s="4" t="s">
        <v>421</v>
      </c>
      <c r="Y62" s="6"/>
      <c r="Z62" s="5"/>
      <c r="AC62" s="3">
        <f t="shared" si="0"/>
        <v>62</v>
      </c>
      <c r="AD62" s="37" t="s">
        <v>609</v>
      </c>
      <c r="AE62" s="45" t="s">
        <v>524</v>
      </c>
      <c r="AF62" s="2">
        <f>$Z$4-$I$57</f>
        <v>0</v>
      </c>
    </row>
    <row r="63" spans="7:32" x14ac:dyDescent="0.4">
      <c r="W63" s="3" t="s">
        <v>466</v>
      </c>
      <c r="X63" s="9" t="s">
        <v>362</v>
      </c>
      <c r="Y63" s="11" t="s">
        <v>75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610</v>
      </c>
      <c r="AE63" s="45" t="s">
        <v>525</v>
      </c>
      <c r="AF63" s="2">
        <f>SQRT($C$8^2-$AF$62^2)</f>
        <v>0</v>
      </c>
    </row>
    <row r="64" spans="7:32" x14ac:dyDescent="0.4">
      <c r="W64" s="3" t="s">
        <v>79</v>
      </c>
      <c r="X64" s="9" t="s">
        <v>57</v>
      </c>
      <c r="Y64" s="11" t="s">
        <v>79</v>
      </c>
      <c r="Z64" s="27">
        <f>$AF$16</f>
        <v>0</v>
      </c>
      <c r="AC64" s="3">
        <f t="shared" si="0"/>
        <v>64</v>
      </c>
      <c r="AD64" s="37" t="s">
        <v>611</v>
      </c>
      <c r="AF64" s="2">
        <f>AF63-AF31</f>
        <v>0</v>
      </c>
    </row>
    <row r="65" spans="3:32" x14ac:dyDescent="0.4">
      <c r="W65" s="3" t="s">
        <v>79</v>
      </c>
      <c r="X65" s="9" t="s">
        <v>422</v>
      </c>
      <c r="Y65" s="11" t="s">
        <v>79</v>
      </c>
      <c r="Z65" s="27">
        <f>$AF$22</f>
        <v>0</v>
      </c>
      <c r="AC65" s="3">
        <f t="shared" si="0"/>
        <v>65</v>
      </c>
      <c r="AD65" s="37" t="s">
        <v>112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453</v>
      </c>
      <c r="X66" s="9" t="s">
        <v>82</v>
      </c>
      <c r="Y66" s="11" t="s">
        <v>79</v>
      </c>
      <c r="Z66" s="27" t="e">
        <f ca="1">$AF$113</f>
        <v>#REF!</v>
      </c>
      <c r="AB66" s="3"/>
      <c r="AC66" s="3">
        <f t="shared" si="0"/>
        <v>66</v>
      </c>
      <c r="AD66" s="37" t="s">
        <v>140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76</v>
      </c>
      <c r="X67" s="9" t="s">
        <v>423</v>
      </c>
      <c r="Y67" s="11" t="s">
        <v>76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141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448</v>
      </c>
      <c r="X68" s="9" t="s">
        <v>424</v>
      </c>
      <c r="Y68" s="11" t="s">
        <v>76</v>
      </c>
      <c r="Z68" s="27">
        <f>$Z$4</f>
        <v>0</v>
      </c>
      <c r="AA68" s="44"/>
      <c r="AC68" s="3">
        <f t="shared" si="0"/>
        <v>68</v>
      </c>
      <c r="AD68" s="37" t="s">
        <v>142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449</v>
      </c>
      <c r="X69" s="9" t="s">
        <v>425</v>
      </c>
      <c r="Y69" s="11" t="s">
        <v>79</v>
      </c>
      <c r="Z69" s="27">
        <f>$AF$24</f>
        <v>0</v>
      </c>
      <c r="AC69" s="3">
        <f t="shared" si="0"/>
        <v>69</v>
      </c>
      <c r="AD69" s="37" t="s">
        <v>144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450</v>
      </c>
      <c r="X70" s="9" t="s">
        <v>426</v>
      </c>
      <c r="Y70" s="11" t="s">
        <v>76</v>
      </c>
      <c r="Z70" s="27">
        <f>$I$57</f>
        <v>0</v>
      </c>
      <c r="AC70" s="3">
        <f t="shared" si="0"/>
        <v>70</v>
      </c>
      <c r="AD70" s="37" t="s">
        <v>143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451</v>
      </c>
      <c r="X71" s="9" t="s">
        <v>4</v>
      </c>
      <c r="Y71" s="11" t="s">
        <v>75</v>
      </c>
      <c r="Z71" s="27">
        <f>$C$8</f>
        <v>0</v>
      </c>
      <c r="AC71" s="3">
        <f t="shared" si="0"/>
        <v>71</v>
      </c>
      <c r="AD71" s="37" t="s">
        <v>116</v>
      </c>
      <c r="AE71" s="45" t="s">
        <v>381</v>
      </c>
      <c r="AF71" s="36">
        <f>$AF$65-($O$8-2)*$O$4</f>
        <v>0</v>
      </c>
    </row>
    <row r="72" spans="3:32" x14ac:dyDescent="0.4">
      <c r="W72" s="3" t="s">
        <v>452</v>
      </c>
      <c r="X72" s="9" t="s">
        <v>30</v>
      </c>
      <c r="Y72" s="11" t="s">
        <v>76</v>
      </c>
      <c r="Z72" s="27">
        <f>$Z$195</f>
        <v>0</v>
      </c>
      <c r="AA72" s="60"/>
      <c r="AC72" s="3">
        <f t="shared" si="0"/>
        <v>72</v>
      </c>
      <c r="AD72" s="37" t="s">
        <v>115</v>
      </c>
      <c r="AE72" s="45" t="s">
        <v>382</v>
      </c>
      <c r="AF72" s="36">
        <f>$AF$65-($O$8-1)*$O$4</f>
        <v>0</v>
      </c>
    </row>
    <row r="73" spans="3:32" x14ac:dyDescent="0.4">
      <c r="W73" s="3" t="s">
        <v>476</v>
      </c>
      <c r="X73" s="9" t="s">
        <v>31</v>
      </c>
      <c r="Y73" s="11" t="s">
        <v>76</v>
      </c>
      <c r="Z73" s="27">
        <f>$Z$196</f>
        <v>0</v>
      </c>
      <c r="AA73" s="60"/>
      <c r="AC73" s="3">
        <f t="shared" si="0"/>
        <v>73</v>
      </c>
      <c r="AD73" s="37" t="s">
        <v>113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452</v>
      </c>
      <c r="X74" s="9" t="s">
        <v>414</v>
      </c>
      <c r="Y74" s="11" t="s">
        <v>75</v>
      </c>
      <c r="Z74" s="42">
        <f>$C$20</f>
        <v>0</v>
      </c>
      <c r="AA74" s="5"/>
      <c r="AC74" s="3">
        <f t="shared" si="0"/>
        <v>74</v>
      </c>
      <c r="AD74" s="37" t="s">
        <v>145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526</v>
      </c>
      <c r="Y75" s="11" t="s">
        <v>79</v>
      </c>
      <c r="Z75" s="27" t="s">
        <v>530</v>
      </c>
      <c r="AA75" s="27" t="s">
        <v>532</v>
      </c>
      <c r="AC75" s="3">
        <f t="shared" si="0"/>
        <v>75</v>
      </c>
      <c r="AD75" s="37" t="s">
        <v>147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533</v>
      </c>
      <c r="Y76" s="11" t="s">
        <v>79</v>
      </c>
      <c r="Z76" s="32">
        <f>$I$23</f>
        <v>0</v>
      </c>
      <c r="AA76" s="5"/>
      <c r="AC76" s="3">
        <f t="shared" si="0"/>
        <v>76</v>
      </c>
      <c r="AD76" s="37" t="s">
        <v>149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150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427</v>
      </c>
      <c r="Y78" s="6"/>
      <c r="Z78" s="5"/>
      <c r="AC78" s="3">
        <f t="shared" si="0"/>
        <v>78</v>
      </c>
      <c r="AD78" s="37" t="s">
        <v>151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466</v>
      </c>
      <c r="X79" s="9" t="s">
        <v>362</v>
      </c>
      <c r="Y79" s="11" t="s">
        <v>75</v>
      </c>
      <c r="Z79" s="57">
        <f>IF($I$22&lt;&gt;1, $U$34, "")</f>
        <v>110002</v>
      </c>
      <c r="AC79" s="3">
        <f t="shared" si="0"/>
        <v>79</v>
      </c>
      <c r="AD79" s="37" t="s">
        <v>153</v>
      </c>
      <c r="AE79" s="45" t="s">
        <v>155</v>
      </c>
      <c r="AF79" s="2" t="e">
        <f ca="1">LOOKUP($O$3+($O$8-2)*$O$4, INDIRECT($AF$2&amp;"!$A:$A"))</f>
        <v>#REF!</v>
      </c>
    </row>
    <row r="80" spans="3:32" x14ac:dyDescent="0.4">
      <c r="W80" s="3" t="s">
        <v>78</v>
      </c>
      <c r="X80" s="9" t="s">
        <v>8</v>
      </c>
      <c r="Y80" s="11" t="s">
        <v>78</v>
      </c>
      <c r="Z80" s="27">
        <f>$AF$17</f>
        <v>0</v>
      </c>
      <c r="AC80" s="3">
        <f t="shared" si="0"/>
        <v>80</v>
      </c>
      <c r="AD80" s="37" t="s">
        <v>152</v>
      </c>
      <c r="AE80" s="45" t="s">
        <v>154</v>
      </c>
      <c r="AF80" s="2" t="e">
        <f ca="1">LOOKUP($O$3+($O$8-1)*$O$4, INDIRECT($AF$2&amp;"!$A:$A"))</f>
        <v>#REF!</v>
      </c>
    </row>
    <row r="81" spans="2:32" x14ac:dyDescent="0.4">
      <c r="W81" s="3" t="s">
        <v>76</v>
      </c>
      <c r="X81" s="9" t="s">
        <v>423</v>
      </c>
      <c r="Y81" s="11" t="s">
        <v>76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114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146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428</v>
      </c>
      <c r="Y83" s="6"/>
      <c r="Z83" s="5"/>
      <c r="AC83" s="3">
        <f t="shared" si="0"/>
        <v>83</v>
      </c>
      <c r="AD83" s="37" t="s">
        <v>148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466</v>
      </c>
      <c r="X84" s="9" t="s">
        <v>362</v>
      </c>
      <c r="Y84" s="11" t="s">
        <v>75</v>
      </c>
      <c r="Z84" s="57">
        <f>$U$36</f>
        <v>130001</v>
      </c>
      <c r="AC84" s="3">
        <f t="shared" si="0"/>
        <v>84</v>
      </c>
      <c r="AD84" s="37" t="s">
        <v>156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79</v>
      </c>
      <c r="X85" s="9" t="s">
        <v>82</v>
      </c>
      <c r="Y85" s="11" t="s">
        <v>79</v>
      </c>
      <c r="Z85" s="27" t="e">
        <f ca="1">$AF$113</f>
        <v>#REF!</v>
      </c>
      <c r="AC85" s="3">
        <f t="shared" si="0"/>
        <v>85</v>
      </c>
      <c r="AD85" s="37" t="s">
        <v>157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76</v>
      </c>
      <c r="X86" s="9" t="s">
        <v>423</v>
      </c>
      <c r="Y86" s="11" t="s">
        <v>76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158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448</v>
      </c>
      <c r="X87" s="9" t="s">
        <v>424</v>
      </c>
      <c r="Y87" s="11" t="s">
        <v>76</v>
      </c>
      <c r="Z87" s="27">
        <f>$Z$4</f>
        <v>0</v>
      </c>
      <c r="AA87" s="44"/>
      <c r="AC87" s="3">
        <f t="shared" si="0"/>
        <v>87</v>
      </c>
      <c r="AD87" s="37" t="s">
        <v>159</v>
      </c>
      <c r="AE87" s="45" t="s">
        <v>161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451</v>
      </c>
      <c r="X88" s="9" t="s">
        <v>4</v>
      </c>
      <c r="Y88" s="11" t="s">
        <v>75</v>
      </c>
      <c r="Z88" s="27">
        <f>$C$8</f>
        <v>0</v>
      </c>
      <c r="AC88" s="3">
        <f t="shared" si="0"/>
        <v>88</v>
      </c>
      <c r="AD88" s="37" t="s">
        <v>160</v>
      </c>
      <c r="AE88" s="45" t="s">
        <v>88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452</v>
      </c>
      <c r="X89" s="9" t="s">
        <v>414</v>
      </c>
      <c r="Y89" s="11" t="s">
        <v>75</v>
      </c>
      <c r="Z89" s="27">
        <f>$C$20</f>
        <v>0</v>
      </c>
      <c r="AA89" s="5"/>
      <c r="AC89" s="3">
        <f t="shared" si="0"/>
        <v>89</v>
      </c>
      <c r="AD89" s="37" t="s">
        <v>89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164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429</v>
      </c>
      <c r="Y91" s="6"/>
      <c r="Z91" s="5"/>
      <c r="AC91" s="3">
        <f t="shared" si="0"/>
        <v>91</v>
      </c>
      <c r="AD91" s="37" t="s">
        <v>165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466</v>
      </c>
      <c r="X92" s="9" t="s">
        <v>362</v>
      </c>
      <c r="Y92" s="11" t="s">
        <v>75</v>
      </c>
      <c r="Z92" s="57">
        <f>$U$37</f>
        <v>130002</v>
      </c>
      <c r="AC92" s="3">
        <f t="shared" si="0"/>
        <v>92</v>
      </c>
      <c r="AD92" s="37" t="s">
        <v>166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78</v>
      </c>
      <c r="X93" s="9" t="s">
        <v>430</v>
      </c>
      <c r="Y93" s="11" t="s">
        <v>78</v>
      </c>
      <c r="Z93" s="27" t="e">
        <f ca="1">$AF$114</f>
        <v>#REF!</v>
      </c>
      <c r="AC93" s="3">
        <f t="shared" si="0"/>
        <v>93</v>
      </c>
      <c r="AD93" s="37" t="s">
        <v>167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76</v>
      </c>
      <c r="X94" s="9" t="s">
        <v>423</v>
      </c>
      <c r="Y94" s="11" t="s">
        <v>76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168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452</v>
      </c>
      <c r="X95" s="9" t="s">
        <v>414</v>
      </c>
      <c r="Y95" s="11" t="s">
        <v>75</v>
      </c>
      <c r="Z95" s="27">
        <f>$C$20</f>
        <v>0</v>
      </c>
      <c r="AA95" s="5"/>
      <c r="AC95" s="3">
        <f t="shared" si="0"/>
        <v>95</v>
      </c>
      <c r="AD95" s="37" t="s">
        <v>169</v>
      </c>
      <c r="AE95" s="45" t="s">
        <v>169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91</v>
      </c>
      <c r="AE96" s="45" t="s">
        <v>91</v>
      </c>
      <c r="AF96" s="36" t="e">
        <f ca="1">$O$3+($O$8-1)*$O$4-$AF$80</f>
        <v>#REF!</v>
      </c>
    </row>
    <row r="97" spans="23:32" x14ac:dyDescent="0.4">
      <c r="X97" s="70" t="s">
        <v>539</v>
      </c>
      <c r="Y97" s="11" t="s">
        <v>78</v>
      </c>
      <c r="Z97" s="27" t="s">
        <v>531</v>
      </c>
      <c r="AA97" s="27" t="s">
        <v>540</v>
      </c>
      <c r="AC97" s="3">
        <f t="shared" si="0"/>
        <v>97</v>
      </c>
      <c r="AD97" s="37" t="s">
        <v>90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170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516</v>
      </c>
      <c r="Y99" s="6"/>
      <c r="Z99" s="5"/>
      <c r="AC99" s="3">
        <f t="shared" ref="AC99:AC196" si="2">ROW(AC99)</f>
        <v>99</v>
      </c>
      <c r="AD99" s="37" t="s">
        <v>171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466</v>
      </c>
      <c r="X100" s="9" t="s">
        <v>362</v>
      </c>
      <c r="Y100" s="11" t="s">
        <v>75</v>
      </c>
      <c r="Z100" s="57" t="str">
        <f>IF(AND($I$27&lt;&gt;0, $I$11&lt;&gt;1), $U$35, "")</f>
        <v/>
      </c>
      <c r="AC100" s="3">
        <f t="shared" si="2"/>
        <v>100</v>
      </c>
      <c r="AD100" s="37" t="s">
        <v>172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79</v>
      </c>
      <c r="X101" s="9" t="s">
        <v>32</v>
      </c>
      <c r="Y101" s="11" t="s">
        <v>79</v>
      </c>
      <c r="Z101" s="27">
        <f>IF($I$26=4, "#0", $Z$186)</f>
        <v>0</v>
      </c>
      <c r="AA101" s="43"/>
      <c r="AC101" s="3">
        <f t="shared" si="2"/>
        <v>101</v>
      </c>
      <c r="AD101" s="37" t="s">
        <v>173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457</v>
      </c>
      <c r="X102" s="9" t="s">
        <v>57</v>
      </c>
      <c r="Y102" s="11" t="s">
        <v>79</v>
      </c>
      <c r="Z102" s="27">
        <f>$AF$16</f>
        <v>0</v>
      </c>
      <c r="AA102" s="60"/>
      <c r="AC102" s="3">
        <f t="shared" si="2"/>
        <v>102</v>
      </c>
      <c r="AD102" s="37" t="s">
        <v>174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76</v>
      </c>
      <c r="X103" s="9" t="s">
        <v>423</v>
      </c>
      <c r="Y103" s="11" t="s">
        <v>76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175</v>
      </c>
      <c r="AE103" s="45" t="s">
        <v>175</v>
      </c>
      <c r="AF103" s="2" t="e">
        <f ca="1">$AF$87-$O$3-($O$8-2)*$O$4</f>
        <v>#REF!</v>
      </c>
    </row>
    <row r="104" spans="23:32" x14ac:dyDescent="0.4">
      <c r="W104" s="3" t="s">
        <v>452</v>
      </c>
      <c r="X104" s="9" t="s">
        <v>30</v>
      </c>
      <c r="Y104" s="11" t="s">
        <v>76</v>
      </c>
      <c r="Z104" s="27">
        <f>$Z$195</f>
        <v>0</v>
      </c>
      <c r="AA104" s="60"/>
      <c r="AC104" s="3">
        <f t="shared" si="2"/>
        <v>104</v>
      </c>
      <c r="AD104" s="37" t="s">
        <v>117</v>
      </c>
      <c r="AE104" s="45" t="s">
        <v>117</v>
      </c>
      <c r="AF104" s="2" t="e">
        <f ca="1">$AF$88-$O$3-($O$8-1)*$O$4</f>
        <v>#REF!</v>
      </c>
    </row>
    <row r="105" spans="23:32" x14ac:dyDescent="0.4">
      <c r="W105" s="3" t="s">
        <v>476</v>
      </c>
      <c r="X105" s="9" t="s">
        <v>31</v>
      </c>
      <c r="Y105" s="11" t="s">
        <v>76</v>
      </c>
      <c r="Z105" s="27">
        <f>$Z$196</f>
        <v>0</v>
      </c>
      <c r="AA105" s="60"/>
      <c r="AC105" s="3">
        <f t="shared" si="2"/>
        <v>105</v>
      </c>
      <c r="AD105" s="37" t="s">
        <v>176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453</v>
      </c>
      <c r="X106" s="9" t="s">
        <v>517</v>
      </c>
      <c r="Y106" s="11" t="s">
        <v>79</v>
      </c>
      <c r="Z106" s="27">
        <f>$I$32+($J$32+$K$32)/2</f>
        <v>0</v>
      </c>
      <c r="AA106" s="60"/>
      <c r="AC106" s="3">
        <f t="shared" si="2"/>
        <v>106</v>
      </c>
      <c r="AD106" s="37" t="s">
        <v>177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534</v>
      </c>
      <c r="Y107" s="11" t="s">
        <v>79</v>
      </c>
      <c r="Z107" s="27" t="s">
        <v>535</v>
      </c>
      <c r="AA107" s="27" t="s">
        <v>530</v>
      </c>
      <c r="AC107" s="3">
        <f t="shared" si="2"/>
        <v>107</v>
      </c>
      <c r="AD107" s="37" t="s">
        <v>178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179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522</v>
      </c>
      <c r="Y109" s="6"/>
      <c r="Z109" s="5"/>
      <c r="AC109" s="3">
        <f t="shared" si="2"/>
        <v>109</v>
      </c>
      <c r="AD109" s="37" t="s">
        <v>180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466</v>
      </c>
      <c r="X110" s="9" t="s">
        <v>362</v>
      </c>
      <c r="Y110" s="11" t="s">
        <v>75</v>
      </c>
      <c r="Z110" s="57">
        <f>IF($I$22&lt;&gt;1, $U$34, "")</f>
        <v>110002</v>
      </c>
      <c r="AC110" s="3">
        <f t="shared" si="2"/>
        <v>110</v>
      </c>
      <c r="AD110" s="37" t="s">
        <v>181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78</v>
      </c>
      <c r="X111" s="9" t="s">
        <v>8</v>
      </c>
      <c r="Y111" s="11" t="s">
        <v>78</v>
      </c>
      <c r="Z111" s="27">
        <f>$AF$17</f>
        <v>0</v>
      </c>
      <c r="AC111" s="3">
        <f t="shared" si="2"/>
        <v>111</v>
      </c>
      <c r="AD111" s="37" t="s">
        <v>182</v>
      </c>
      <c r="AE111" s="45" t="s">
        <v>184</v>
      </c>
      <c r="AF111" s="39">
        <f>SQRT($C$8^2-$AF$71^2)</f>
        <v>0</v>
      </c>
    </row>
    <row r="112" spans="23:32" x14ac:dyDescent="0.4">
      <c r="W112" s="3" t="s">
        <v>76</v>
      </c>
      <c r="X112" s="9" t="s">
        <v>423</v>
      </c>
      <c r="Y112" s="11" t="s">
        <v>76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183</v>
      </c>
      <c r="AE112" s="45" t="s">
        <v>185</v>
      </c>
      <c r="AF112" s="39">
        <f>SQRT($C$8^2-$AF$72^2)</f>
        <v>0</v>
      </c>
    </row>
    <row r="113" spans="23:32" x14ac:dyDescent="0.4">
      <c r="W113" s="3" t="s">
        <v>452</v>
      </c>
      <c r="X113" s="9" t="s">
        <v>30</v>
      </c>
      <c r="Y113" s="11" t="s">
        <v>76</v>
      </c>
      <c r="Z113" s="27">
        <f>$Z$195</f>
        <v>0</v>
      </c>
      <c r="AA113" s="60"/>
      <c r="AC113" s="3">
        <f t="shared" si="2"/>
        <v>113</v>
      </c>
      <c r="AD113" s="37" t="s">
        <v>132</v>
      </c>
      <c r="AE113" s="46" t="s">
        <v>324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476</v>
      </c>
      <c r="X114" s="9" t="s">
        <v>31</v>
      </c>
      <c r="Y114" s="11" t="s">
        <v>76</v>
      </c>
      <c r="Z114" s="27">
        <f>$Z$196</f>
        <v>0</v>
      </c>
      <c r="AA114" s="60"/>
      <c r="AC114" s="3">
        <f>ROW(AC114)</f>
        <v>114</v>
      </c>
      <c r="AD114" s="37" t="s">
        <v>482</v>
      </c>
      <c r="AE114" s="46" t="s">
        <v>483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536</v>
      </c>
      <c r="Y115" s="11" t="s">
        <v>78</v>
      </c>
      <c r="Z115" s="27" t="s">
        <v>537</v>
      </c>
      <c r="AA115" s="27" t="s">
        <v>531</v>
      </c>
      <c r="AC115" s="3">
        <f t="shared" si="2"/>
        <v>115</v>
      </c>
      <c r="AE115" s="46" t="s">
        <v>506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323</v>
      </c>
      <c r="AE116" s="46" t="s">
        <v>325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490</v>
      </c>
      <c r="Z117" s="5"/>
      <c r="AC117" s="3">
        <f t="shared" si="2"/>
        <v>117</v>
      </c>
      <c r="AD117" s="37" t="s">
        <v>484</v>
      </c>
      <c r="AE117" s="46" t="s">
        <v>485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466</v>
      </c>
      <c r="X118" s="9" t="s">
        <v>362</v>
      </c>
      <c r="Y118" s="11" t="s">
        <v>75</v>
      </c>
      <c r="Z118" s="57">
        <f>$U$41</f>
        <v>210003</v>
      </c>
      <c r="AC118" s="3">
        <f t="shared" si="2"/>
        <v>118</v>
      </c>
      <c r="AE118" s="46" t="s">
        <v>507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449</v>
      </c>
      <c r="X119" s="9" t="s">
        <v>414</v>
      </c>
      <c r="Y119" s="11" t="s">
        <v>75</v>
      </c>
      <c r="Z119" s="27">
        <f>$C$20</f>
        <v>0</v>
      </c>
      <c r="AA119" s="5"/>
      <c r="AC119" s="3">
        <f t="shared" si="2"/>
        <v>119</v>
      </c>
      <c r="AD119" s="37" t="s">
        <v>186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76</v>
      </c>
      <c r="X120" s="9" t="s">
        <v>423</v>
      </c>
      <c r="Y120" s="11" t="s">
        <v>76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187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448</v>
      </c>
      <c r="X121" s="9" t="s">
        <v>424</v>
      </c>
      <c r="Y121" s="11" t="s">
        <v>76</v>
      </c>
      <c r="Z121" s="27">
        <f>$Z$4</f>
        <v>0</v>
      </c>
      <c r="AA121" s="44"/>
      <c r="AC121" s="3">
        <f t="shared" si="2"/>
        <v>121</v>
      </c>
      <c r="AD121" s="37" t="s">
        <v>188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454</v>
      </c>
      <c r="X122" s="9" t="s">
        <v>376</v>
      </c>
      <c r="Y122" s="11" t="s">
        <v>79</v>
      </c>
      <c r="Z122" s="27">
        <f>$O$6</f>
        <v>0</v>
      </c>
      <c r="AC122" s="3">
        <f t="shared" si="2"/>
        <v>122</v>
      </c>
      <c r="AD122" s="37" t="s">
        <v>189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455</v>
      </c>
      <c r="X123" s="9" t="s">
        <v>378</v>
      </c>
      <c r="Y123" s="11" t="s">
        <v>79</v>
      </c>
      <c r="Z123" s="27">
        <f>$O$7</f>
        <v>0</v>
      </c>
      <c r="AC123" s="3">
        <f t="shared" si="2"/>
        <v>123</v>
      </c>
      <c r="AD123" s="37" t="s">
        <v>190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442</v>
      </c>
      <c r="X124" s="9" t="s">
        <v>373</v>
      </c>
      <c r="Y124" s="11" t="s">
        <v>76</v>
      </c>
      <c r="Z124" s="27">
        <f>$O$3</f>
        <v>0</v>
      </c>
      <c r="AC124" s="3">
        <f t="shared" si="2"/>
        <v>124</v>
      </c>
      <c r="AD124" s="37" t="s">
        <v>191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453</v>
      </c>
      <c r="X125" s="9" t="s">
        <v>375</v>
      </c>
      <c r="Y125" s="11" t="s">
        <v>79</v>
      </c>
      <c r="Z125" s="27">
        <f>$O$5</f>
        <v>0</v>
      </c>
      <c r="AC125" s="3">
        <f t="shared" si="2"/>
        <v>125</v>
      </c>
      <c r="AD125" s="37" t="s">
        <v>192</v>
      </c>
      <c r="AE125" s="45" t="s">
        <v>194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456</v>
      </c>
      <c r="X126" s="9" t="s">
        <v>374</v>
      </c>
      <c r="Y126" s="11" t="s">
        <v>76</v>
      </c>
      <c r="Z126" s="27">
        <f>$O$4</f>
        <v>0</v>
      </c>
      <c r="AC126" s="3">
        <f t="shared" si="2"/>
        <v>126</v>
      </c>
      <c r="AD126" s="37" t="s">
        <v>193</v>
      </c>
      <c r="AE126" s="45" t="s">
        <v>195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452</v>
      </c>
      <c r="X127" s="9" t="s">
        <v>379</v>
      </c>
      <c r="Y127" s="11" t="s">
        <v>75</v>
      </c>
      <c r="Z127" s="57">
        <f>$O$8</f>
        <v>0</v>
      </c>
      <c r="AC127" s="3">
        <f t="shared" si="2"/>
        <v>127</v>
      </c>
      <c r="AD127" s="37" t="s">
        <v>196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457</v>
      </c>
      <c r="X128" s="9" t="s">
        <v>380</v>
      </c>
      <c r="Y128" s="11" t="s">
        <v>75</v>
      </c>
      <c r="Z128" s="27">
        <f>$O$9</f>
        <v>0</v>
      </c>
      <c r="AC128" s="3">
        <f t="shared" si="2"/>
        <v>128</v>
      </c>
      <c r="AD128" s="37" t="s">
        <v>197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451</v>
      </c>
      <c r="X129" s="9" t="s">
        <v>4</v>
      </c>
      <c r="Y129" s="11" t="s">
        <v>75</v>
      </c>
      <c r="Z129" s="27">
        <f>$C$8</f>
        <v>0</v>
      </c>
      <c r="AC129" s="3">
        <f t="shared" si="2"/>
        <v>129</v>
      </c>
      <c r="AD129" s="37" t="s">
        <v>198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458</v>
      </c>
      <c r="X130" s="9" t="s">
        <v>277</v>
      </c>
      <c r="Y130" s="11" t="s">
        <v>77</v>
      </c>
      <c r="Z130" s="27" t="e">
        <f>$Z$13</f>
        <v>#NUM!</v>
      </c>
      <c r="AA130" s="43"/>
      <c r="AC130" s="3">
        <f t="shared" si="2"/>
        <v>130</v>
      </c>
      <c r="AD130" s="37" t="s">
        <v>199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77</v>
      </c>
      <c r="X131" s="10" t="s">
        <v>388</v>
      </c>
      <c r="Y131" s="47" t="s">
        <v>77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200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201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491</v>
      </c>
      <c r="Z133" s="5"/>
      <c r="AC133" s="3">
        <f t="shared" si="2"/>
        <v>133</v>
      </c>
      <c r="AD133" s="37" t="s">
        <v>202</v>
      </c>
      <c r="AE133" s="45" t="s">
        <v>204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449</v>
      </c>
      <c r="X134" s="9" t="s">
        <v>348</v>
      </c>
      <c r="Y134" s="11" t="s">
        <v>75</v>
      </c>
      <c r="Z134" s="57" t="e" cm="1">
        <f t="array" ref="Z134">_xlfn.IFS($O$10&gt;=20, $U$25, $O$10&gt;=6.6, $U$26, $O$10&gt;=15, $U$27)</f>
        <v>#N/A</v>
      </c>
      <c r="AA134" s="43"/>
      <c r="AC134" s="3">
        <f t="shared" si="2"/>
        <v>134</v>
      </c>
      <c r="AD134" s="37" t="s">
        <v>203</v>
      </c>
      <c r="AE134" s="45" t="s">
        <v>205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216</v>
      </c>
      <c r="AE135" s="45" t="s">
        <v>135</v>
      </c>
      <c r="AF135" s="2" t="e">
        <f ca="1">$C$8+$Z$327/2</f>
        <v>#REF!</v>
      </c>
    </row>
    <row r="136" spans="23:32" x14ac:dyDescent="0.4">
      <c r="X136" s="28" t="s">
        <v>492</v>
      </c>
      <c r="Z136" s="5"/>
      <c r="AC136" s="3">
        <f t="shared" si="2"/>
        <v>136</v>
      </c>
      <c r="AD136" s="37" t="s">
        <v>217</v>
      </c>
      <c r="AE136" s="45" t="s">
        <v>136</v>
      </c>
      <c r="AF136" s="2" t="e">
        <f>$C$8+$Z$328/2</f>
        <v>#VALUE!</v>
      </c>
    </row>
    <row r="137" spans="23:32" x14ac:dyDescent="0.4">
      <c r="W137" s="3" t="s">
        <v>449</v>
      </c>
      <c r="X137" s="9" t="s">
        <v>348</v>
      </c>
      <c r="Y137" s="11" t="s">
        <v>75</v>
      </c>
      <c r="Z137" s="57">
        <f>$U$17</f>
        <v>2</v>
      </c>
      <c r="AA137" s="43"/>
      <c r="AC137" s="3">
        <f t="shared" si="2"/>
        <v>137</v>
      </c>
      <c r="AD137" s="37" t="s">
        <v>220</v>
      </c>
      <c r="AE137" s="45" t="s">
        <v>395</v>
      </c>
      <c r="AF137" s="2" t="e">
        <f>SQRT($AF$136^2-$AF$65^2)</f>
        <v>#VALUE!</v>
      </c>
    </row>
    <row r="138" spans="23:32" ht="15" thickBot="1" x14ac:dyDescent="0.45">
      <c r="W138" s="3" t="s">
        <v>77</v>
      </c>
      <c r="X138" s="64" t="s">
        <v>514</v>
      </c>
      <c r="Y138" s="65" t="s">
        <v>77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221</v>
      </c>
      <c r="AE138" s="45" t="s">
        <v>395</v>
      </c>
      <c r="AF138" s="2" t="e">
        <f ca="1">SQRT($AF$135^2-$Z$4^2)</f>
        <v>#REF!</v>
      </c>
    </row>
    <row r="139" spans="23:32" ht="15" thickTop="1" x14ac:dyDescent="0.4">
      <c r="W139" s="3" t="s">
        <v>466</v>
      </c>
      <c r="X139" s="67" t="s">
        <v>362</v>
      </c>
      <c r="Y139" s="68" t="s">
        <v>75</v>
      </c>
      <c r="Z139" s="69">
        <f>$U$42</f>
        <v>410000</v>
      </c>
      <c r="AC139" s="3">
        <f t="shared" si="2"/>
        <v>139</v>
      </c>
      <c r="AD139" s="37" t="s">
        <v>118</v>
      </c>
      <c r="AE139" s="45" t="s">
        <v>118</v>
      </c>
      <c r="AF139" s="2" t="e">
        <f ca="1">IF($AF$137&gt;$AF$138, ($AF$137-$AF$138)/$O$3, 0)</f>
        <v>#VALUE!</v>
      </c>
    </row>
    <row r="140" spans="23:32" x14ac:dyDescent="0.4">
      <c r="W140" s="3" t="s">
        <v>76</v>
      </c>
      <c r="X140" s="9" t="s">
        <v>423</v>
      </c>
      <c r="Y140" s="11" t="s">
        <v>76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119</v>
      </c>
      <c r="AE140" s="45" t="s">
        <v>433</v>
      </c>
      <c r="AF140" s="2" t="e">
        <f ca="1">ATAN($AF$139)</f>
        <v>#VALUE!</v>
      </c>
    </row>
    <row r="141" spans="23:32" x14ac:dyDescent="0.4">
      <c r="W141" s="3" t="s">
        <v>451</v>
      </c>
      <c r="X141" s="9" t="s">
        <v>515</v>
      </c>
      <c r="Y141" s="11" t="s">
        <v>75</v>
      </c>
      <c r="Z141" s="27" t="e">
        <f ca="1">$AF$115</f>
        <v>#REF!</v>
      </c>
      <c r="AC141" s="3">
        <f t="shared" si="2"/>
        <v>141</v>
      </c>
      <c r="AD141" s="37" t="s">
        <v>119</v>
      </c>
      <c r="AE141" s="45" t="s">
        <v>434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282</v>
      </c>
      <c r="AE142" s="45" t="s">
        <v>282</v>
      </c>
      <c r="AF142" s="2" t="e">
        <f ca="1">SIN($AF$141)</f>
        <v>#VALUE!</v>
      </c>
    </row>
    <row r="143" spans="23:32" x14ac:dyDescent="0.4">
      <c r="X143" s="4" t="s">
        <v>493</v>
      </c>
      <c r="Z143" s="25"/>
      <c r="AC143" s="3">
        <f t="shared" si="2"/>
        <v>143</v>
      </c>
      <c r="AD143" s="37" t="s">
        <v>281</v>
      </c>
      <c r="AE143" s="45" t="s">
        <v>281</v>
      </c>
      <c r="AF143" s="2" t="e">
        <f ca="1">COS($AF$141)</f>
        <v>#VALUE!</v>
      </c>
    </row>
    <row r="144" spans="23:32" x14ac:dyDescent="0.4">
      <c r="W144" s="3" t="s">
        <v>449</v>
      </c>
      <c r="X144" s="9" t="s">
        <v>348</v>
      </c>
      <c r="Y144" s="11" t="s">
        <v>75</v>
      </c>
      <c r="Z144" s="57">
        <f>IF($I$12&lt;&gt;1,$U$23,$U$24)</f>
        <v>16</v>
      </c>
      <c r="AA144" s="43"/>
      <c r="AC144" s="3">
        <f t="shared" si="2"/>
        <v>144</v>
      </c>
      <c r="AD144" s="37" t="s">
        <v>218</v>
      </c>
      <c r="AE144" s="45" t="s">
        <v>85</v>
      </c>
      <c r="AF144" s="2" t="e">
        <f>$C$8-$Z$328/2</f>
        <v>#VALUE!</v>
      </c>
    </row>
    <row r="145" spans="23:32" x14ac:dyDescent="0.4">
      <c r="W145" s="3" t="s">
        <v>466</v>
      </c>
      <c r="X145" s="9" t="s">
        <v>362</v>
      </c>
      <c r="Y145" s="11" t="s">
        <v>75</v>
      </c>
      <c r="Z145" s="57">
        <f>$U$43</f>
        <v>420000</v>
      </c>
      <c r="AC145" s="3">
        <f t="shared" si="2"/>
        <v>145</v>
      </c>
      <c r="AD145" s="37" t="s">
        <v>219</v>
      </c>
      <c r="AE145" s="45" t="s">
        <v>86</v>
      </c>
      <c r="AF145" s="2" t="e">
        <f ca="1">$C$8-$Z$329/2</f>
        <v>#REF!</v>
      </c>
    </row>
    <row r="146" spans="23:32" x14ac:dyDescent="0.4">
      <c r="W146" s="3" t="s">
        <v>79</v>
      </c>
      <c r="X146" s="9" t="s">
        <v>436</v>
      </c>
      <c r="Y146" s="11" t="s">
        <v>79</v>
      </c>
      <c r="Z146" s="27">
        <f>$AF$22</f>
        <v>0</v>
      </c>
      <c r="AA146" s="43"/>
      <c r="AC146" s="3">
        <f t="shared" si="2"/>
        <v>146</v>
      </c>
      <c r="AD146" s="37" t="s">
        <v>222</v>
      </c>
      <c r="AE146" s="45" t="s">
        <v>399</v>
      </c>
      <c r="AF146" s="2" t="e">
        <f ca="1">SQRT($AF$145^2-$AF$72^2)</f>
        <v>#REF!</v>
      </c>
    </row>
    <row r="147" spans="23:32" x14ac:dyDescent="0.4">
      <c r="W147" s="3" t="s">
        <v>78</v>
      </c>
      <c r="X147" s="9" t="s">
        <v>437</v>
      </c>
      <c r="Y147" s="11" t="s">
        <v>78</v>
      </c>
      <c r="Z147" s="27">
        <f>$AF$23</f>
        <v>0</v>
      </c>
      <c r="AA147" s="43"/>
      <c r="AC147" s="3">
        <f t="shared" si="2"/>
        <v>147</v>
      </c>
      <c r="AD147" s="37" t="s">
        <v>223</v>
      </c>
      <c r="AE147" s="45" t="s">
        <v>399</v>
      </c>
      <c r="AF147" s="2" t="e">
        <f>SQRT($AF$144^2-$AF$65^2)</f>
        <v>#VALUE!</v>
      </c>
    </row>
    <row r="148" spans="23:32" x14ac:dyDescent="0.4">
      <c r="W148" s="3" t="s">
        <v>457</v>
      </c>
      <c r="X148" s="9" t="s">
        <v>57</v>
      </c>
      <c r="Y148" s="11" t="s">
        <v>79</v>
      </c>
      <c r="Z148" s="27">
        <f>$AF$16</f>
        <v>0</v>
      </c>
      <c r="AA148" s="60"/>
      <c r="AC148" s="3">
        <f t="shared" si="2"/>
        <v>148</v>
      </c>
      <c r="AD148" s="37" t="s">
        <v>120</v>
      </c>
      <c r="AF148" s="2" t="e">
        <f ca="1">($AF146-$AF147)/($AF$65-$AF$72)</f>
        <v>#REF!</v>
      </c>
    </row>
    <row r="149" spans="23:32" x14ac:dyDescent="0.4">
      <c r="W149" s="3" t="s">
        <v>459</v>
      </c>
      <c r="X149" s="9" t="s">
        <v>8</v>
      </c>
      <c r="Y149" s="11" t="s">
        <v>78</v>
      </c>
      <c r="Z149" s="27">
        <f>$AF$17</f>
        <v>0</v>
      </c>
      <c r="AA149" s="60"/>
      <c r="AC149" s="3">
        <f t="shared" si="2"/>
        <v>149</v>
      </c>
      <c r="AD149" s="37" t="s">
        <v>121</v>
      </c>
      <c r="AE149" s="45" t="s">
        <v>92</v>
      </c>
      <c r="AF149" s="2" t="e">
        <f ca="1">ATAN($AF$148)</f>
        <v>#REF!</v>
      </c>
    </row>
    <row r="150" spans="23:32" x14ac:dyDescent="0.4">
      <c r="W150" s="3" t="s">
        <v>76</v>
      </c>
      <c r="X150" s="9" t="s">
        <v>423</v>
      </c>
      <c r="Y150" s="11" t="s">
        <v>76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123</v>
      </c>
      <c r="AE150" s="45" t="s">
        <v>400</v>
      </c>
      <c r="AF150" s="2">
        <f>IF(MOD($O$8, 2)=0, $O$6, $O$7)</f>
        <v>0</v>
      </c>
    </row>
    <row r="151" spans="23:32" x14ac:dyDescent="0.4">
      <c r="W151" s="3" t="s">
        <v>451</v>
      </c>
      <c r="X151" s="9" t="s">
        <v>460</v>
      </c>
      <c r="Y151" s="11" t="s">
        <v>75</v>
      </c>
      <c r="Z151" s="27">
        <f>$I$19</f>
        <v>0</v>
      </c>
      <c r="AA151" s="60"/>
      <c r="AC151" s="3">
        <f t="shared" si="2"/>
        <v>151</v>
      </c>
      <c r="AD151" s="37" t="s">
        <v>122</v>
      </c>
      <c r="AE151" s="45" t="s">
        <v>401</v>
      </c>
      <c r="AF151" s="2">
        <f>IF(MOD($O$8, 2)=0, $O$7, $O$6)</f>
        <v>0</v>
      </c>
    </row>
    <row r="152" spans="23:32" x14ac:dyDescent="0.4">
      <c r="W152" s="3" t="s">
        <v>456</v>
      </c>
      <c r="X152" s="9" t="s">
        <v>346</v>
      </c>
      <c r="Y152" s="11" t="s">
        <v>76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224</v>
      </c>
      <c r="AE152" s="45" t="s">
        <v>130</v>
      </c>
      <c r="AF152" s="2" t="e">
        <f ca="1">$Z$327/2-$Z$317-$AF$150/2</f>
        <v>#REF!</v>
      </c>
    </row>
    <row r="153" spans="23:32" x14ac:dyDescent="0.4">
      <c r="W153" s="3" t="s">
        <v>452</v>
      </c>
      <c r="X153" s="9" t="s">
        <v>30</v>
      </c>
      <c r="Y153" s="11" t="s">
        <v>76</v>
      </c>
      <c r="Z153" s="27">
        <f>$Z$195</f>
        <v>0</v>
      </c>
      <c r="AA153" s="60"/>
      <c r="AC153" s="3">
        <f t="shared" si="2"/>
        <v>153</v>
      </c>
      <c r="AD153" s="37" t="s">
        <v>225</v>
      </c>
      <c r="AE153" s="45" t="s">
        <v>131</v>
      </c>
      <c r="AF153" s="2" t="e">
        <f ca="1">$Z$327/2-$Z$318-$AF$151/2</f>
        <v>#REF!</v>
      </c>
    </row>
    <row r="154" spans="23:32" x14ac:dyDescent="0.4">
      <c r="W154" s="3" t="s">
        <v>448</v>
      </c>
      <c r="X154" s="9" t="s">
        <v>31</v>
      </c>
      <c r="Y154" s="11" t="s">
        <v>76</v>
      </c>
      <c r="Z154" s="27">
        <f>$Z$196</f>
        <v>0</v>
      </c>
      <c r="AA154" s="60"/>
      <c r="AC154" s="3">
        <f t="shared" si="2"/>
        <v>154</v>
      </c>
      <c r="AD154" s="37" t="s">
        <v>227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228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552</v>
      </c>
      <c r="Z156" s="25"/>
      <c r="AC156" s="3">
        <f t="shared" si="2"/>
        <v>156</v>
      </c>
      <c r="AD156" s="37" t="s">
        <v>229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449</v>
      </c>
      <c r="X157" s="9" t="s">
        <v>348</v>
      </c>
      <c r="Y157" s="11" t="s">
        <v>75</v>
      </c>
      <c r="Z157" s="57">
        <f>$U$23</f>
        <v>16</v>
      </c>
      <c r="AA157" s="43"/>
      <c r="AC157" s="3">
        <f t="shared" si="2"/>
        <v>157</v>
      </c>
      <c r="AD157" s="37" t="s">
        <v>230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466</v>
      </c>
      <c r="X158" s="9" t="s">
        <v>362</v>
      </c>
      <c r="Y158" s="11" t="s">
        <v>75</v>
      </c>
      <c r="Z158" s="57" t="str">
        <f>IF($O$15&lt;&gt;0, $U$49, "")</f>
        <v/>
      </c>
      <c r="AC158" s="3">
        <f t="shared" si="2"/>
        <v>158</v>
      </c>
      <c r="AD158" s="37" t="s">
        <v>231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453</v>
      </c>
      <c r="X159" s="9" t="s">
        <v>547</v>
      </c>
      <c r="Y159" s="11" t="s">
        <v>79</v>
      </c>
      <c r="Z159" s="27">
        <f>$O$16</f>
        <v>0</v>
      </c>
      <c r="AC159" s="3">
        <f t="shared" si="2"/>
        <v>159</v>
      </c>
      <c r="AD159" s="37" t="s">
        <v>232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457</v>
      </c>
      <c r="X160" s="9" t="s">
        <v>554</v>
      </c>
      <c r="Y160" s="11" t="s">
        <v>79</v>
      </c>
      <c r="Z160" s="27">
        <f>$O$17</f>
        <v>0</v>
      </c>
      <c r="AC160" s="3">
        <f t="shared" si="2"/>
        <v>160</v>
      </c>
      <c r="AD160" s="37" t="s">
        <v>233</v>
      </c>
      <c r="AE160" s="45" t="s">
        <v>243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459</v>
      </c>
      <c r="X161" s="9" t="s">
        <v>555</v>
      </c>
      <c r="Y161" s="11" t="s">
        <v>78</v>
      </c>
      <c r="Z161" s="27">
        <f>$O$18</f>
        <v>0</v>
      </c>
      <c r="AC161" s="3">
        <f t="shared" si="2"/>
        <v>161</v>
      </c>
      <c r="AD161" s="37" t="s">
        <v>234</v>
      </c>
      <c r="AE161" s="45" t="s">
        <v>244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448</v>
      </c>
      <c r="X162" s="9" t="s">
        <v>556</v>
      </c>
      <c r="Y162" s="11" t="s">
        <v>76</v>
      </c>
      <c r="Z162" s="27">
        <f>$O$20</f>
        <v>0</v>
      </c>
      <c r="AC162" s="3">
        <f t="shared" si="2"/>
        <v>162</v>
      </c>
      <c r="AD162" s="37" t="s">
        <v>235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451</v>
      </c>
      <c r="X163" s="9" t="s">
        <v>557</v>
      </c>
      <c r="Y163" s="11" t="s">
        <v>75</v>
      </c>
      <c r="Z163" s="27">
        <f>$O$19</f>
        <v>0</v>
      </c>
      <c r="AC163" s="3">
        <f t="shared" si="2"/>
        <v>163</v>
      </c>
      <c r="AD163" s="37" t="s">
        <v>236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457</v>
      </c>
      <c r="X164" s="9" t="s">
        <v>57</v>
      </c>
      <c r="Y164" s="11" t="s">
        <v>79</v>
      </c>
      <c r="Z164" s="27">
        <f>$AF$16</f>
        <v>0</v>
      </c>
      <c r="AA164" s="60"/>
      <c r="AC164" s="3">
        <f t="shared" si="2"/>
        <v>164</v>
      </c>
      <c r="AD164" s="37" t="s">
        <v>237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459</v>
      </c>
      <c r="X165" s="9" t="s">
        <v>8</v>
      </c>
      <c r="Y165" s="11" t="s">
        <v>78</v>
      </c>
      <c r="Z165" s="27">
        <f>$AF$17</f>
        <v>0</v>
      </c>
      <c r="AA165" s="60"/>
      <c r="AC165" s="3">
        <f t="shared" si="2"/>
        <v>165</v>
      </c>
      <c r="AD165" s="37" t="s">
        <v>238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76</v>
      </c>
      <c r="X166" s="9" t="s">
        <v>423</v>
      </c>
      <c r="Y166" s="11" t="s">
        <v>76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239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240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567</v>
      </c>
      <c r="Z168" s="25"/>
      <c r="AC168" s="3">
        <f t="shared" si="2"/>
        <v>168</v>
      </c>
      <c r="AD168" s="37" t="s">
        <v>241</v>
      </c>
      <c r="AE168" s="45" t="s">
        <v>245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449</v>
      </c>
      <c r="X169" s="9" t="s">
        <v>348</v>
      </c>
      <c r="Y169" s="11" t="s">
        <v>75</v>
      </c>
      <c r="Z169" s="57">
        <f>IF($I$12&lt;&gt;1,$U$23,$U$24)</f>
        <v>16</v>
      </c>
      <c r="AA169" s="43"/>
      <c r="AC169" s="3">
        <f t="shared" si="2"/>
        <v>169</v>
      </c>
      <c r="AD169" s="37" t="s">
        <v>242</v>
      </c>
      <c r="AE169" s="45" t="s">
        <v>246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466</v>
      </c>
      <c r="X170" s="9" t="s">
        <v>362</v>
      </c>
      <c r="Y170" s="11" t="s">
        <v>75</v>
      </c>
      <c r="Z170" s="57" t="str">
        <f>IF($O$22&lt;&gt;0, $U$50, "")</f>
        <v/>
      </c>
      <c r="AC170" s="3">
        <f t="shared" si="2"/>
        <v>170</v>
      </c>
      <c r="AD170" s="37" t="s">
        <v>263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79</v>
      </c>
      <c r="X171" s="9" t="s">
        <v>569</v>
      </c>
      <c r="Y171" s="11" t="s">
        <v>79</v>
      </c>
      <c r="Z171" s="27">
        <f>$O$23</f>
        <v>0</v>
      </c>
      <c r="AA171" s="60"/>
      <c r="AC171" s="3">
        <f t="shared" si="2"/>
        <v>171</v>
      </c>
      <c r="AD171" s="37" t="s">
        <v>264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78</v>
      </c>
      <c r="X172" s="9" t="s">
        <v>570</v>
      </c>
      <c r="Y172" s="11" t="s">
        <v>78</v>
      </c>
      <c r="Z172" s="27">
        <f>$O$24</f>
        <v>0</v>
      </c>
      <c r="AA172" s="60"/>
      <c r="AC172" s="3">
        <f t="shared" si="2"/>
        <v>172</v>
      </c>
      <c r="AD172" s="37" t="s">
        <v>265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76</v>
      </c>
      <c r="X173" s="9" t="s">
        <v>423</v>
      </c>
      <c r="Y173" s="11" t="s">
        <v>76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266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451</v>
      </c>
      <c r="X174" s="9" t="s">
        <v>572</v>
      </c>
      <c r="Y174" s="11" t="s">
        <v>75</v>
      </c>
      <c r="Z174" s="27">
        <f>$O$26</f>
        <v>0</v>
      </c>
      <c r="AA174" s="60"/>
      <c r="AC174" s="3">
        <f t="shared" si="2"/>
        <v>174</v>
      </c>
      <c r="AD174" s="37" t="s">
        <v>267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456</v>
      </c>
      <c r="X175" s="9" t="s">
        <v>571</v>
      </c>
      <c r="Y175" s="11" t="s">
        <v>76</v>
      </c>
      <c r="Z175" s="27">
        <f>$O$25</f>
        <v>0</v>
      </c>
      <c r="AA175" s="60"/>
      <c r="AC175" s="3">
        <f t="shared" si="2"/>
        <v>175</v>
      </c>
      <c r="AD175" s="37" t="s">
        <v>268</v>
      </c>
      <c r="AE175" s="46" t="s">
        <v>253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212</v>
      </c>
      <c r="AE176" s="46" t="s">
        <v>255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545</v>
      </c>
      <c r="Y177" s="54"/>
      <c r="Z177" s="25"/>
      <c r="AC177" s="3">
        <f t="shared" si="2"/>
        <v>177</v>
      </c>
      <c r="AD177" s="37" t="s">
        <v>252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449</v>
      </c>
      <c r="X178" s="9" t="s">
        <v>348</v>
      </c>
      <c r="Y178" s="11" t="s">
        <v>75</v>
      </c>
      <c r="Z178" s="57">
        <f>IF($Z$196&gt;=7.1, $U$18, $U$19)</f>
        <v>8</v>
      </c>
      <c r="AA178" s="43"/>
      <c r="AC178" s="3">
        <f t="shared" si="2"/>
        <v>178</v>
      </c>
      <c r="AD178" s="37" t="s">
        <v>257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77</v>
      </c>
      <c r="X179" s="64" t="s">
        <v>514</v>
      </c>
      <c r="Y179" s="65" t="s">
        <v>77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258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466</v>
      </c>
      <c r="X180" s="9" t="s">
        <v>362</v>
      </c>
      <c r="Y180" s="11" t="s">
        <v>75</v>
      </c>
      <c r="Z180" s="57">
        <f>$U$45</f>
        <v>430000</v>
      </c>
      <c r="AC180" s="3">
        <f t="shared" si="2"/>
        <v>180</v>
      </c>
      <c r="AD180" s="37" t="s">
        <v>259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458</v>
      </c>
      <c r="X181" s="10" t="s">
        <v>475</v>
      </c>
      <c r="Y181" s="27" t="s">
        <v>75</v>
      </c>
      <c r="Z181" s="57">
        <f>$I$11</f>
        <v>0</v>
      </c>
      <c r="AA181" s="43"/>
      <c r="AC181" s="3">
        <f t="shared" si="2"/>
        <v>181</v>
      </c>
      <c r="AD181" s="37" t="s">
        <v>260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77</v>
      </c>
      <c r="X182" s="10" t="s">
        <v>542</v>
      </c>
      <c r="Y182" s="27" t="s">
        <v>75</v>
      </c>
      <c r="Z182" s="57">
        <f>$I$27</f>
        <v>0</v>
      </c>
      <c r="AA182" s="43"/>
      <c r="AC182" s="3">
        <f t="shared" si="2"/>
        <v>182</v>
      </c>
      <c r="AD182" s="37" t="s">
        <v>261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456</v>
      </c>
      <c r="X183" s="10" t="s">
        <v>440</v>
      </c>
      <c r="Y183" s="27" t="s">
        <v>75</v>
      </c>
      <c r="Z183" s="57">
        <f>$I$26</f>
        <v>0</v>
      </c>
      <c r="AA183" s="43"/>
      <c r="AC183" s="3">
        <f t="shared" si="2"/>
        <v>183</v>
      </c>
      <c r="AD183" s="37" t="s">
        <v>262</v>
      </c>
      <c r="AE183" s="46" t="s">
        <v>256</v>
      </c>
      <c r="AF183" s="2" t="e">
        <f ca="1">($AF$95*$AF$168+$AF$103*$AF$160)/($AF$87-$AF$79)+$C$20*2</f>
        <v>#REF!</v>
      </c>
    </row>
    <row r="184" spans="23:32" x14ac:dyDescent="0.4">
      <c r="W184" s="3" t="s">
        <v>450</v>
      </c>
      <c r="X184" s="10" t="s">
        <v>438</v>
      </c>
      <c r="Y184" s="27" t="s">
        <v>75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451</v>
      </c>
      <c r="X185" s="10" t="s">
        <v>439</v>
      </c>
      <c r="Y185" s="27" t="s">
        <v>75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79</v>
      </c>
      <c r="X186" s="9" t="s">
        <v>32</v>
      </c>
      <c r="Y186" s="11" t="s">
        <v>79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78</v>
      </c>
      <c r="X187" s="9" t="s">
        <v>441</v>
      </c>
      <c r="Y187" s="11" t="s">
        <v>78</v>
      </c>
      <c r="Z187" s="27">
        <f>$I$29+($J$29+$K$29)/2</f>
        <v>0</v>
      </c>
      <c r="AA187" s="43"/>
      <c r="AC187" s="3">
        <f t="shared" si="2"/>
        <v>187</v>
      </c>
      <c r="AD187" s="37" t="s">
        <v>124</v>
      </c>
      <c r="AF187" s="2">
        <f>$AI$27^2+(2*AF15)^2</f>
        <v>384469.72249999997</v>
      </c>
    </row>
    <row r="188" spans="23:32" x14ac:dyDescent="0.4">
      <c r="W188" s="3" t="s">
        <v>457</v>
      </c>
      <c r="X188" s="9" t="s">
        <v>57</v>
      </c>
      <c r="Y188" s="11" t="s">
        <v>79</v>
      </c>
      <c r="Z188" s="27">
        <f>$AF$16</f>
        <v>0</v>
      </c>
      <c r="AA188" s="60"/>
      <c r="AC188" s="3">
        <f t="shared" si="2"/>
        <v>188</v>
      </c>
      <c r="AD188" s="37" t="s">
        <v>125</v>
      </c>
      <c r="AE188" s="45" t="s">
        <v>21</v>
      </c>
      <c r="AF188" s="2">
        <f>SQRT(AF187)</f>
        <v>620.05622527316018</v>
      </c>
    </row>
    <row r="189" spans="23:32" x14ac:dyDescent="0.4">
      <c r="W189" s="3" t="s">
        <v>459</v>
      </c>
      <c r="X189" s="9" t="s">
        <v>8</v>
      </c>
      <c r="Y189" s="11" t="s">
        <v>78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0.9999093222987393</v>
      </c>
    </row>
    <row r="190" spans="23:32" x14ac:dyDescent="0.4">
      <c r="W190" s="3" t="s">
        <v>457</v>
      </c>
      <c r="X190" s="9" t="s">
        <v>436</v>
      </c>
      <c r="Y190" s="11" t="s">
        <v>79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1.3466520711603988E-2</v>
      </c>
    </row>
    <row r="191" spans="23:32" x14ac:dyDescent="0.4">
      <c r="W191" s="3" t="s">
        <v>459</v>
      </c>
      <c r="X191" s="9" t="s">
        <v>437</v>
      </c>
      <c r="Y191" s="11" t="s">
        <v>78</v>
      </c>
      <c r="Z191" s="27">
        <f>$AF$23</f>
        <v>0</v>
      </c>
      <c r="AA191" s="43"/>
      <c r="AC191" s="3">
        <f t="shared" si="2"/>
        <v>191</v>
      </c>
      <c r="AD191" s="37" t="s">
        <v>126</v>
      </c>
      <c r="AF191" s="2" t="e">
        <f>SQRT(AF14^2-(AF15-AF28)^2)</f>
        <v>#NUM!</v>
      </c>
    </row>
    <row r="192" spans="23:32" x14ac:dyDescent="0.4">
      <c r="W192" s="3" t="s">
        <v>76</v>
      </c>
      <c r="X192" s="9" t="s">
        <v>423</v>
      </c>
      <c r="Y192" s="11" t="s">
        <v>76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127</v>
      </c>
      <c r="AF192" s="2" t="e">
        <f>SQRT(AF14^2-(AF15+AF28)^2)</f>
        <v>#NUM!</v>
      </c>
    </row>
    <row r="193" spans="23:32" x14ac:dyDescent="0.4">
      <c r="W193" s="3" t="s">
        <v>448</v>
      </c>
      <c r="X193" s="9" t="s">
        <v>424</v>
      </c>
      <c r="Y193" s="11" t="s">
        <v>76</v>
      </c>
      <c r="Z193" s="27">
        <f>$Z$4</f>
        <v>0</v>
      </c>
      <c r="AA193" s="44"/>
      <c r="AC193" s="3">
        <f t="shared" si="2"/>
        <v>193</v>
      </c>
      <c r="AD193" s="37" t="s">
        <v>128</v>
      </c>
      <c r="AF193" s="2">
        <f>AF28*AF15</f>
        <v>0</v>
      </c>
    </row>
    <row r="194" spans="23:32" x14ac:dyDescent="0.4">
      <c r="W194" s="3" t="s">
        <v>442</v>
      </c>
      <c r="X194" s="9" t="s">
        <v>4</v>
      </c>
      <c r="Y194" s="11" t="s">
        <v>75</v>
      </c>
      <c r="Z194" s="27">
        <f>$C$8</f>
        <v>0</v>
      </c>
      <c r="AC194" s="3">
        <f t="shared" si="2"/>
        <v>194</v>
      </c>
      <c r="AD194" s="37" t="s">
        <v>129</v>
      </c>
      <c r="AF194" s="2" t="e">
        <f>SQRT(AF14^2-AF187/4)</f>
        <v>#NUM!</v>
      </c>
    </row>
    <row r="195" spans="23:32" x14ac:dyDescent="0.4">
      <c r="W195" s="3" t="s">
        <v>452</v>
      </c>
      <c r="X195" s="9" t="s">
        <v>30</v>
      </c>
      <c r="Y195" s="11" t="s">
        <v>76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476</v>
      </c>
      <c r="X196" s="9" t="s">
        <v>31</v>
      </c>
      <c r="Y196" s="11" t="s">
        <v>76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494</v>
      </c>
      <c r="Y198" s="25"/>
      <c r="Z198" s="5"/>
      <c r="AA198" s="5"/>
    </row>
    <row r="199" spans="23:32" x14ac:dyDescent="0.4">
      <c r="W199" s="3" t="s">
        <v>449</v>
      </c>
      <c r="X199" s="9" t="s">
        <v>348</v>
      </c>
      <c r="Y199" s="11" t="s">
        <v>75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77</v>
      </c>
      <c r="X200" s="64" t="s">
        <v>514</v>
      </c>
      <c r="Y200" s="65" t="s">
        <v>77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466</v>
      </c>
      <c r="X201" s="9" t="s">
        <v>362</v>
      </c>
      <c r="Y201" s="11" t="s">
        <v>75</v>
      </c>
      <c r="Z201" s="57">
        <v>440000</v>
      </c>
    </row>
    <row r="202" spans="23:32" x14ac:dyDescent="0.4">
      <c r="W202" s="3" t="s">
        <v>458</v>
      </c>
      <c r="X202" s="10" t="s">
        <v>475</v>
      </c>
      <c r="Y202" s="27" t="s">
        <v>75</v>
      </c>
      <c r="Z202" s="57">
        <f>$I$11</f>
        <v>0</v>
      </c>
      <c r="AA202" s="43"/>
    </row>
    <row r="203" spans="23:32" x14ac:dyDescent="0.4">
      <c r="W203" s="3" t="s">
        <v>77</v>
      </c>
      <c r="X203" s="10" t="s">
        <v>502</v>
      </c>
      <c r="Y203" s="27" t="s">
        <v>75</v>
      </c>
      <c r="Z203" s="57">
        <f>IF($I$51=1, 0, 1)</f>
        <v>1</v>
      </c>
      <c r="AA203" s="43"/>
    </row>
    <row r="204" spans="23:32" x14ac:dyDescent="0.4">
      <c r="W204" s="3" t="s">
        <v>79</v>
      </c>
      <c r="X204" s="9" t="s">
        <v>436</v>
      </c>
      <c r="Y204" s="11" t="s">
        <v>79</v>
      </c>
      <c r="Z204" s="27" t="str">
        <f>IF($Z$202&lt;&gt;0, $AF$22, "#0")</f>
        <v>#0</v>
      </c>
      <c r="AA204" s="43"/>
    </row>
    <row r="205" spans="23:32" x14ac:dyDescent="0.4">
      <c r="W205" s="3" t="s">
        <v>78</v>
      </c>
      <c r="X205" s="9" t="s">
        <v>437</v>
      </c>
      <c r="Y205" s="11" t="s">
        <v>78</v>
      </c>
      <c r="Z205" s="27" t="str">
        <f>IF($Z$202&lt;&gt;0, $AF$23, "#0")</f>
        <v>#0</v>
      </c>
      <c r="AA205" s="43"/>
    </row>
    <row r="206" spans="23:32" x14ac:dyDescent="0.4">
      <c r="W206" s="3" t="s">
        <v>76</v>
      </c>
      <c r="X206" s="9" t="s">
        <v>423</v>
      </c>
      <c r="Y206" s="11" t="s">
        <v>76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448</v>
      </c>
      <c r="X207" s="9" t="s">
        <v>424</v>
      </c>
      <c r="Y207" s="11" t="s">
        <v>76</v>
      </c>
      <c r="Z207" s="27">
        <f>$Z$4</f>
        <v>0</v>
      </c>
      <c r="AA207" s="44"/>
    </row>
    <row r="208" spans="23:32" x14ac:dyDescent="0.4">
      <c r="W208" s="3" t="s">
        <v>442</v>
      </c>
      <c r="X208" s="9" t="s">
        <v>4</v>
      </c>
      <c r="Y208" s="11" t="s">
        <v>75</v>
      </c>
      <c r="Z208" s="27">
        <f>$C$8</f>
        <v>0</v>
      </c>
    </row>
    <row r="209" spans="23:32" x14ac:dyDescent="0.4">
      <c r="W209" s="3" t="s">
        <v>456</v>
      </c>
      <c r="X209" s="9" t="s">
        <v>478</v>
      </c>
      <c r="Y209" s="11" t="s">
        <v>75</v>
      </c>
      <c r="Z209" s="27">
        <f>$I$52</f>
        <v>0</v>
      </c>
    </row>
    <row r="210" spans="23:32" x14ac:dyDescent="0.4">
      <c r="W210" s="3" t="s">
        <v>451</v>
      </c>
      <c r="X210" s="9" t="s">
        <v>480</v>
      </c>
      <c r="Y210" s="11" t="s">
        <v>75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495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449</v>
      </c>
      <c r="X213" s="9" t="s">
        <v>348</v>
      </c>
      <c r="Y213" s="11" t="s">
        <v>75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77</v>
      </c>
      <c r="X214" s="64" t="s">
        <v>514</v>
      </c>
      <c r="Y214" s="65" t="s">
        <v>77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466</v>
      </c>
      <c r="X215" s="9" t="s">
        <v>362</v>
      </c>
      <c r="Y215" s="11" t="s">
        <v>75</v>
      </c>
      <c r="Z215" s="57">
        <f>$U$48</f>
        <v>450000</v>
      </c>
    </row>
    <row r="216" spans="23:32" x14ac:dyDescent="0.4">
      <c r="W216" s="3" t="s">
        <v>458</v>
      </c>
      <c r="X216" s="10" t="s">
        <v>573</v>
      </c>
      <c r="Y216" s="27" t="s">
        <v>75</v>
      </c>
      <c r="Z216" s="57">
        <f>IF($O$22=0, 0, 1)</f>
        <v>0</v>
      </c>
      <c r="AA216" s="43"/>
    </row>
    <row r="217" spans="23:32" x14ac:dyDescent="0.4">
      <c r="W217" s="3" t="s">
        <v>77</v>
      </c>
      <c r="X217" s="10" t="s">
        <v>502</v>
      </c>
      <c r="Y217" s="27" t="s">
        <v>75</v>
      </c>
      <c r="Z217" s="57">
        <f>IF($I$56=1, 0, 1)</f>
        <v>1</v>
      </c>
      <c r="AA217" s="43"/>
    </row>
    <row r="218" spans="23:32" x14ac:dyDescent="0.4">
      <c r="W218" s="3" t="s">
        <v>79</v>
      </c>
      <c r="X218" s="10" t="s">
        <v>574</v>
      </c>
      <c r="Y218" s="27" t="s">
        <v>79</v>
      </c>
      <c r="Z218" s="57" t="str">
        <f>IF($Z$216&lt;&gt;0, $O$23, "#0")</f>
        <v>#0</v>
      </c>
      <c r="AA218" s="43"/>
    </row>
    <row r="219" spans="23:32" x14ac:dyDescent="0.4">
      <c r="W219" s="3" t="s">
        <v>78</v>
      </c>
      <c r="X219" s="10" t="s">
        <v>574</v>
      </c>
      <c r="Y219" s="27" t="s">
        <v>78</v>
      </c>
      <c r="Z219" s="57" t="str">
        <f>IF($Z$216&lt;&gt;0, $O$24, "#0")</f>
        <v>#0</v>
      </c>
      <c r="AA219" s="43"/>
    </row>
    <row r="220" spans="23:32" x14ac:dyDescent="0.4">
      <c r="W220" s="3" t="s">
        <v>76</v>
      </c>
      <c r="X220" s="9" t="s">
        <v>423</v>
      </c>
      <c r="Y220" s="11" t="s">
        <v>76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448</v>
      </c>
      <c r="X221" s="9" t="s">
        <v>424</v>
      </c>
      <c r="Y221" s="11" t="s">
        <v>76</v>
      </c>
      <c r="Z221" s="27">
        <f>$Z$4</f>
        <v>0</v>
      </c>
      <c r="AA221" s="44"/>
    </row>
    <row r="222" spans="23:32" x14ac:dyDescent="0.4">
      <c r="W222" s="3" t="s">
        <v>442</v>
      </c>
      <c r="X222" s="9" t="s">
        <v>4</v>
      </c>
      <c r="Y222" s="11" t="s">
        <v>75</v>
      </c>
      <c r="Z222" s="27">
        <f>$C$8</f>
        <v>0</v>
      </c>
    </row>
    <row r="223" spans="23:32" x14ac:dyDescent="0.4">
      <c r="W223" s="3" t="s">
        <v>456</v>
      </c>
      <c r="X223" s="9" t="s">
        <v>479</v>
      </c>
      <c r="Y223" s="11" t="s">
        <v>75</v>
      </c>
      <c r="Z223" s="27">
        <f>$I$57</f>
        <v>0</v>
      </c>
    </row>
    <row r="224" spans="23:32" x14ac:dyDescent="0.4">
      <c r="W224" s="3" t="s">
        <v>451</v>
      </c>
      <c r="X224" s="9" t="s">
        <v>505</v>
      </c>
      <c r="Y224" s="11" t="s">
        <v>75</v>
      </c>
      <c r="Z224" s="27" t="e">
        <f ca="1">$AF$115</f>
        <v>#REF!</v>
      </c>
    </row>
    <row r="225" spans="23:27" x14ac:dyDescent="0.4">
      <c r="W225" s="3" t="s">
        <v>449</v>
      </c>
      <c r="X225" s="9" t="s">
        <v>414</v>
      </c>
      <c r="Y225" s="11" t="s">
        <v>75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497</v>
      </c>
      <c r="Y227" s="25"/>
      <c r="Z227" s="25"/>
      <c r="AA227" s="5"/>
    </row>
    <row r="228" spans="23:27" x14ac:dyDescent="0.4">
      <c r="W228" s="3" t="s">
        <v>449</v>
      </c>
      <c r="X228" s="9" t="s">
        <v>348</v>
      </c>
      <c r="Y228" s="11" t="s">
        <v>75</v>
      </c>
      <c r="Z228" s="57">
        <f>$U$17</f>
        <v>2</v>
      </c>
      <c r="AA228" s="43"/>
    </row>
    <row r="229" spans="23:27" ht="15" thickBot="1" x14ac:dyDescent="0.45">
      <c r="W229" s="3" t="s">
        <v>77</v>
      </c>
      <c r="X229" s="64" t="s">
        <v>514</v>
      </c>
      <c r="Y229" s="65" t="s">
        <v>77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466</v>
      </c>
      <c r="X230" s="9" t="s">
        <v>362</v>
      </c>
      <c r="Y230" s="11" t="s">
        <v>75</v>
      </c>
      <c r="Z230" s="57">
        <f>$U$42</f>
        <v>410000</v>
      </c>
    </row>
    <row r="231" spans="23:27" x14ac:dyDescent="0.4">
      <c r="W231" s="3" t="s">
        <v>76</v>
      </c>
      <c r="X231" s="9" t="s">
        <v>409</v>
      </c>
      <c r="Y231" s="11" t="s">
        <v>76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451</v>
      </c>
      <c r="X232" s="9" t="s">
        <v>481</v>
      </c>
      <c r="Y232" s="11" t="s">
        <v>75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496</v>
      </c>
      <c r="Z234" s="5"/>
    </row>
    <row r="235" spans="23:27" x14ac:dyDescent="0.4">
      <c r="W235" s="3" t="s">
        <v>449</v>
      </c>
      <c r="X235" s="9" t="s">
        <v>348</v>
      </c>
      <c r="Y235" s="11" t="s">
        <v>75</v>
      </c>
      <c r="Z235" s="57">
        <f>IF($I$3&lt;&gt;1,$U$23,$U$24)</f>
        <v>16</v>
      </c>
      <c r="AA235" s="43"/>
    </row>
    <row r="236" spans="23:27" ht="15" thickBot="1" x14ac:dyDescent="0.45">
      <c r="W236" s="3" t="s">
        <v>77</v>
      </c>
      <c r="X236" s="64" t="s">
        <v>514</v>
      </c>
      <c r="Y236" s="65" t="s">
        <v>77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466</v>
      </c>
      <c r="X237" s="9" t="s">
        <v>362</v>
      </c>
      <c r="Y237" s="11" t="s">
        <v>75</v>
      </c>
      <c r="Z237" s="57">
        <f>$U$43</f>
        <v>420000</v>
      </c>
    </row>
    <row r="238" spans="23:27" x14ac:dyDescent="0.4">
      <c r="W238" s="3" t="s">
        <v>79</v>
      </c>
      <c r="X238" s="9" t="s">
        <v>486</v>
      </c>
      <c r="Y238" s="11" t="s">
        <v>79</v>
      </c>
      <c r="Z238" s="27">
        <f>$AF$18</f>
        <v>0</v>
      </c>
      <c r="AA238" s="43"/>
    </row>
    <row r="239" spans="23:27" x14ac:dyDescent="0.4">
      <c r="W239" s="3" t="s">
        <v>78</v>
      </c>
      <c r="X239" s="9" t="s">
        <v>487</v>
      </c>
      <c r="Y239" s="11" t="s">
        <v>78</v>
      </c>
      <c r="Z239" s="27">
        <f>$AF$19</f>
        <v>0</v>
      </c>
      <c r="AA239" s="43"/>
    </row>
    <row r="240" spans="23:27" x14ac:dyDescent="0.4">
      <c r="W240" s="3" t="s">
        <v>457</v>
      </c>
      <c r="X240" s="9" t="s">
        <v>57</v>
      </c>
      <c r="Y240" s="11" t="s">
        <v>79</v>
      </c>
      <c r="Z240" s="27">
        <f>$AF$16</f>
        <v>0</v>
      </c>
      <c r="AA240" s="60"/>
    </row>
    <row r="241" spans="23:27" x14ac:dyDescent="0.4">
      <c r="W241" s="3" t="s">
        <v>459</v>
      </c>
      <c r="X241" s="9" t="s">
        <v>8</v>
      </c>
      <c r="Y241" s="11" t="s">
        <v>78</v>
      </c>
      <c r="Z241" s="27">
        <f>$AF$17</f>
        <v>0</v>
      </c>
      <c r="AA241" s="60"/>
    </row>
    <row r="242" spans="23:27" x14ac:dyDescent="0.4">
      <c r="W242" s="3" t="s">
        <v>76</v>
      </c>
      <c r="X242" s="9" t="s">
        <v>409</v>
      </c>
      <c r="Y242" s="11" t="s">
        <v>76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451</v>
      </c>
      <c r="X243" s="9" t="s">
        <v>488</v>
      </c>
      <c r="Y243" s="11" t="s">
        <v>75</v>
      </c>
      <c r="Z243" s="27">
        <f>$I$9</f>
        <v>0</v>
      </c>
      <c r="AA243" s="60"/>
    </row>
    <row r="244" spans="23:27" x14ac:dyDescent="0.4">
      <c r="W244" s="3" t="s">
        <v>456</v>
      </c>
      <c r="X244" s="9" t="s">
        <v>472</v>
      </c>
      <c r="Y244" s="11" t="s">
        <v>76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560</v>
      </c>
      <c r="Z246" s="5"/>
    </row>
    <row r="247" spans="23:27" x14ac:dyDescent="0.4">
      <c r="W247" s="3" t="s">
        <v>449</v>
      </c>
      <c r="X247" s="9" t="s">
        <v>348</v>
      </c>
      <c r="Y247" s="11" t="s">
        <v>75</v>
      </c>
      <c r="Z247" s="57">
        <f>IF($I$3&lt;&gt;1,$U$23,$U$24)</f>
        <v>16</v>
      </c>
      <c r="AA247" s="43"/>
    </row>
    <row r="248" spans="23:27" ht="15" thickBot="1" x14ac:dyDescent="0.45">
      <c r="W248" s="3" t="s">
        <v>77</v>
      </c>
      <c r="X248" s="64" t="s">
        <v>514</v>
      </c>
      <c r="Y248" s="65" t="s">
        <v>77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466</v>
      </c>
      <c r="X249" s="9" t="s">
        <v>362</v>
      </c>
      <c r="Y249" s="11" t="s">
        <v>75</v>
      </c>
      <c r="Z249" s="57">
        <f>$U$44</f>
        <v>421000</v>
      </c>
    </row>
    <row r="250" spans="23:27" x14ac:dyDescent="0.4">
      <c r="W250" s="3" t="s">
        <v>79</v>
      </c>
      <c r="X250" s="9" t="s">
        <v>486</v>
      </c>
      <c r="Y250" s="11" t="s">
        <v>79</v>
      </c>
      <c r="Z250" s="27">
        <f>$AF$18</f>
        <v>0</v>
      </c>
      <c r="AA250" s="43"/>
    </row>
    <row r="251" spans="23:27" x14ac:dyDescent="0.4">
      <c r="W251" s="3" t="s">
        <v>78</v>
      </c>
      <c r="X251" s="9" t="s">
        <v>487</v>
      </c>
      <c r="Y251" s="11" t="s">
        <v>78</v>
      </c>
      <c r="Z251" s="27">
        <f>$AF$19</f>
        <v>0</v>
      </c>
      <c r="AA251" s="43"/>
    </row>
    <row r="252" spans="23:27" x14ac:dyDescent="0.4">
      <c r="W252" s="3" t="s">
        <v>457</v>
      </c>
      <c r="X252" s="9" t="s">
        <v>57</v>
      </c>
      <c r="Y252" s="11" t="s">
        <v>79</v>
      </c>
      <c r="Z252" s="27">
        <f>$AF$16</f>
        <v>0</v>
      </c>
      <c r="AA252" s="60"/>
    </row>
    <row r="253" spans="23:27" x14ac:dyDescent="0.4">
      <c r="W253" s="3" t="s">
        <v>459</v>
      </c>
      <c r="X253" s="9" t="s">
        <v>8</v>
      </c>
      <c r="Y253" s="11" t="s">
        <v>78</v>
      </c>
      <c r="Z253" s="27">
        <f>$AF$17</f>
        <v>0</v>
      </c>
      <c r="AA253" s="43"/>
    </row>
    <row r="254" spans="23:27" x14ac:dyDescent="0.4">
      <c r="W254" s="3" t="s">
        <v>76</v>
      </c>
      <c r="X254" s="9" t="s">
        <v>409</v>
      </c>
      <c r="Y254" s="11" t="s">
        <v>76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442</v>
      </c>
      <c r="X255" s="9" t="s">
        <v>4</v>
      </c>
      <c r="Y255" s="11" t="s">
        <v>75</v>
      </c>
      <c r="Z255" s="27">
        <f>$C$8</f>
        <v>0</v>
      </c>
    </row>
    <row r="256" spans="23:27" x14ac:dyDescent="0.4">
      <c r="W256" s="3" t="s">
        <v>451</v>
      </c>
      <c r="X256" s="9" t="s">
        <v>488</v>
      </c>
      <c r="Y256" s="11" t="s">
        <v>75</v>
      </c>
      <c r="Z256" s="27">
        <f>$I$9</f>
        <v>0</v>
      </c>
      <c r="AA256" s="60"/>
    </row>
    <row r="257" spans="23:27" x14ac:dyDescent="0.4">
      <c r="W257" s="3" t="s">
        <v>456</v>
      </c>
      <c r="X257" s="9" t="s">
        <v>472</v>
      </c>
      <c r="Y257" s="11" t="s">
        <v>76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498</v>
      </c>
      <c r="Y259" s="5"/>
      <c r="Z259" s="5"/>
      <c r="AA259" s="5"/>
    </row>
    <row r="260" spans="23:27" x14ac:dyDescent="0.4">
      <c r="W260" s="3" t="s">
        <v>449</v>
      </c>
      <c r="X260" s="9" t="s">
        <v>348</v>
      </c>
      <c r="Y260" s="11" t="s">
        <v>75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77</v>
      </c>
      <c r="X261" s="64" t="s">
        <v>514</v>
      </c>
      <c r="Y261" s="65" t="s">
        <v>77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466</v>
      </c>
      <c r="X262" s="9" t="s">
        <v>362</v>
      </c>
      <c r="Y262" s="11" t="s">
        <v>75</v>
      </c>
      <c r="Z262" s="57">
        <f>$U$46</f>
        <v>440000</v>
      </c>
    </row>
    <row r="263" spans="23:27" x14ac:dyDescent="0.4">
      <c r="W263" s="3" t="s">
        <v>458</v>
      </c>
      <c r="X263" s="10" t="s">
        <v>489</v>
      </c>
      <c r="Y263" s="27" t="s">
        <v>75</v>
      </c>
      <c r="Z263" s="57">
        <f>$I$2</f>
        <v>0</v>
      </c>
      <c r="AA263" s="43"/>
    </row>
    <row r="264" spans="23:27" x14ac:dyDescent="0.4">
      <c r="W264" s="3" t="s">
        <v>77</v>
      </c>
      <c r="X264" s="10" t="s">
        <v>502</v>
      </c>
      <c r="Y264" s="27" t="s">
        <v>75</v>
      </c>
      <c r="Z264" s="57">
        <f>IF($I$41=1, 0, 1)</f>
        <v>1</v>
      </c>
      <c r="AA264" s="43"/>
    </row>
    <row r="265" spans="23:27" x14ac:dyDescent="0.4">
      <c r="W265" s="3" t="s">
        <v>79</v>
      </c>
      <c r="X265" s="9" t="s">
        <v>486</v>
      </c>
      <c r="Y265" s="11" t="s">
        <v>79</v>
      </c>
      <c r="Z265" s="27" t="str">
        <f>IF($Z$263&lt;&gt;0, $AF$18, "#0")</f>
        <v>#0</v>
      </c>
      <c r="AA265" s="43"/>
    </row>
    <row r="266" spans="23:27" x14ac:dyDescent="0.4">
      <c r="W266" s="3" t="s">
        <v>78</v>
      </c>
      <c r="X266" s="9" t="s">
        <v>487</v>
      </c>
      <c r="Y266" s="11" t="s">
        <v>78</v>
      </c>
      <c r="Z266" s="27" t="str">
        <f>IF($Z$263&lt;&gt;0, $AF$19, "#0")</f>
        <v>#0</v>
      </c>
      <c r="AA266" s="43"/>
    </row>
    <row r="267" spans="23:27" x14ac:dyDescent="0.4">
      <c r="W267" s="3" t="s">
        <v>76</v>
      </c>
      <c r="X267" s="9" t="s">
        <v>409</v>
      </c>
      <c r="Y267" s="11" t="s">
        <v>76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448</v>
      </c>
      <c r="X268" s="9" t="s">
        <v>408</v>
      </c>
      <c r="Y268" s="11" t="s">
        <v>76</v>
      </c>
      <c r="Z268" s="27">
        <f>$Z$5</f>
        <v>0</v>
      </c>
      <c r="AA268" s="44"/>
    </row>
    <row r="269" spans="23:27" x14ac:dyDescent="0.4">
      <c r="W269" s="3" t="s">
        <v>442</v>
      </c>
      <c r="X269" s="9" t="s">
        <v>4</v>
      </c>
      <c r="Y269" s="11" t="s">
        <v>75</v>
      </c>
      <c r="Z269" s="27">
        <f>$C$8</f>
        <v>0</v>
      </c>
    </row>
    <row r="270" spans="23:27" x14ac:dyDescent="0.4">
      <c r="W270" s="3" t="s">
        <v>456</v>
      </c>
      <c r="X270" s="9" t="s">
        <v>499</v>
      </c>
      <c r="Y270" s="11" t="s">
        <v>75</v>
      </c>
      <c r="Z270" s="27">
        <f>$I$42</f>
        <v>0</v>
      </c>
    </row>
    <row r="271" spans="23:27" x14ac:dyDescent="0.4">
      <c r="W271" s="3" t="s">
        <v>451</v>
      </c>
      <c r="X271" s="9" t="s">
        <v>500</v>
      </c>
      <c r="Y271" s="11" t="s">
        <v>75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501</v>
      </c>
      <c r="Y273" s="5"/>
      <c r="Z273" s="5"/>
      <c r="AA273" s="5"/>
    </row>
    <row r="274" spans="23:27" x14ac:dyDescent="0.4">
      <c r="W274" s="3" t="s">
        <v>449</v>
      </c>
      <c r="X274" s="9" t="s">
        <v>348</v>
      </c>
      <c r="Y274" s="11" t="s">
        <v>75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77</v>
      </c>
      <c r="X275" s="64" t="s">
        <v>514</v>
      </c>
      <c r="Y275" s="65" t="s">
        <v>77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466</v>
      </c>
      <c r="X276" s="9" t="s">
        <v>362</v>
      </c>
      <c r="Y276" s="11" t="s">
        <v>75</v>
      </c>
      <c r="Z276" s="57">
        <f>$U$48</f>
        <v>450000</v>
      </c>
    </row>
    <row r="277" spans="23:27" x14ac:dyDescent="0.4">
      <c r="W277" s="3" t="s">
        <v>77</v>
      </c>
      <c r="X277" s="10" t="s">
        <v>502</v>
      </c>
      <c r="Y277" s="27" t="s">
        <v>75</v>
      </c>
      <c r="Z277" s="57">
        <f>IF($I$46=1, 0, 1)</f>
        <v>1</v>
      </c>
      <c r="AA277" s="43"/>
    </row>
    <row r="278" spans="23:27" x14ac:dyDescent="0.4">
      <c r="W278" s="3" t="s">
        <v>76</v>
      </c>
      <c r="X278" s="9" t="s">
        <v>409</v>
      </c>
      <c r="Y278" s="11" t="s">
        <v>76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448</v>
      </c>
      <c r="X279" s="9" t="s">
        <v>408</v>
      </c>
      <c r="Y279" s="11" t="s">
        <v>76</v>
      </c>
      <c r="Z279" s="27">
        <f>$Z$5</f>
        <v>0</v>
      </c>
      <c r="AA279" s="44"/>
    </row>
    <row r="280" spans="23:27" x14ac:dyDescent="0.4">
      <c r="W280" s="3" t="s">
        <v>442</v>
      </c>
      <c r="X280" s="9" t="s">
        <v>4</v>
      </c>
      <c r="Y280" s="11" t="s">
        <v>75</v>
      </c>
      <c r="Z280" s="27">
        <f>$C$8</f>
        <v>0</v>
      </c>
    </row>
    <row r="281" spans="23:27" x14ac:dyDescent="0.4">
      <c r="W281" s="3" t="s">
        <v>456</v>
      </c>
      <c r="X281" s="9" t="s">
        <v>503</v>
      </c>
      <c r="Y281" s="11" t="s">
        <v>75</v>
      </c>
      <c r="Z281" s="27">
        <f>$I$47</f>
        <v>0</v>
      </c>
    </row>
    <row r="282" spans="23:27" x14ac:dyDescent="0.4">
      <c r="W282" s="3" t="s">
        <v>451</v>
      </c>
      <c r="X282" s="9" t="s">
        <v>504</v>
      </c>
      <c r="Y282" s="11" t="s">
        <v>75</v>
      </c>
      <c r="Z282" s="27" t="e">
        <f ca="1">$AF$118</f>
        <v>#REF!</v>
      </c>
    </row>
    <row r="283" spans="23:27" x14ac:dyDescent="0.4">
      <c r="W283" s="3" t="s">
        <v>449</v>
      </c>
      <c r="X283" s="9" t="s">
        <v>414</v>
      </c>
      <c r="Y283" s="11" t="s">
        <v>75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546</v>
      </c>
      <c r="Y285" s="5"/>
      <c r="Z285" s="5"/>
      <c r="AA285" s="5"/>
    </row>
    <row r="286" spans="23:27" x14ac:dyDescent="0.4">
      <c r="W286" s="3" t="s">
        <v>449</v>
      </c>
      <c r="X286" s="9" t="s">
        <v>348</v>
      </c>
      <c r="Y286" s="11" t="s">
        <v>75</v>
      </c>
      <c r="Z286" s="57">
        <f>$U$30</f>
        <v>50</v>
      </c>
    </row>
    <row r="287" spans="23:27" x14ac:dyDescent="0.4">
      <c r="W287" s="3" t="s">
        <v>466</v>
      </c>
      <c r="X287" s="9" t="s">
        <v>362</v>
      </c>
      <c r="Y287" s="11" t="s">
        <v>75</v>
      </c>
      <c r="Z287" s="57">
        <f>$U$39</f>
        <v>150002</v>
      </c>
    </row>
    <row r="288" spans="23:27" x14ac:dyDescent="0.4">
      <c r="W288" s="3" t="s">
        <v>448</v>
      </c>
      <c r="X288" s="9" t="s">
        <v>423</v>
      </c>
      <c r="Y288" s="11" t="s">
        <v>79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76</v>
      </c>
      <c r="X289" s="9" t="s">
        <v>409</v>
      </c>
      <c r="Y289" s="11" t="s">
        <v>79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449</v>
      </c>
      <c r="X290" s="9" t="s">
        <v>436</v>
      </c>
      <c r="Y290" s="11" t="s">
        <v>76</v>
      </c>
      <c r="Z290" s="27">
        <f>$AF$22</f>
        <v>0</v>
      </c>
      <c r="AA290" s="43"/>
    </row>
    <row r="291" spans="23:27" x14ac:dyDescent="0.4">
      <c r="W291" s="3" t="s">
        <v>457</v>
      </c>
      <c r="X291" s="9" t="s">
        <v>437</v>
      </c>
      <c r="Y291" s="11" t="s">
        <v>78</v>
      </c>
      <c r="Z291" s="27">
        <f>$AF$23</f>
        <v>0</v>
      </c>
      <c r="AA291" s="43"/>
    </row>
    <row r="292" spans="23:27" x14ac:dyDescent="0.4">
      <c r="W292" s="3" t="s">
        <v>77</v>
      </c>
      <c r="X292" s="9" t="s">
        <v>486</v>
      </c>
      <c r="Y292" s="11" t="s">
        <v>76</v>
      </c>
      <c r="Z292" s="27">
        <f>$AF$18</f>
        <v>0</v>
      </c>
      <c r="AA292" s="43"/>
    </row>
    <row r="293" spans="23:27" x14ac:dyDescent="0.4">
      <c r="W293" s="3" t="s">
        <v>450</v>
      </c>
      <c r="X293" s="9" t="s">
        <v>487</v>
      </c>
      <c r="Y293" s="11" t="s">
        <v>78</v>
      </c>
      <c r="Z293" s="27">
        <f>$AF$19</f>
        <v>0</v>
      </c>
      <c r="AA293" s="43"/>
    </row>
    <row r="294" spans="23:27" x14ac:dyDescent="0.4">
      <c r="W294" s="3" t="s">
        <v>452</v>
      </c>
      <c r="X294" s="9" t="s">
        <v>30</v>
      </c>
      <c r="Y294" s="11" t="s">
        <v>79</v>
      </c>
      <c r="Z294" s="27">
        <f>$Z$195</f>
        <v>0</v>
      </c>
      <c r="AA294" s="60"/>
    </row>
    <row r="295" spans="23:27" x14ac:dyDescent="0.4">
      <c r="W295" s="3" t="s">
        <v>453</v>
      </c>
      <c r="X295" s="9" t="s">
        <v>508</v>
      </c>
      <c r="Y295" s="11" t="s">
        <v>76</v>
      </c>
      <c r="Z295" s="27">
        <f>$I$23</f>
        <v>0</v>
      </c>
      <c r="AA295" s="60"/>
    </row>
    <row r="296" spans="23:27" x14ac:dyDescent="0.4">
      <c r="W296" s="3" t="s">
        <v>456</v>
      </c>
      <c r="X296" s="9" t="s">
        <v>472</v>
      </c>
      <c r="Y296" s="11" t="s">
        <v>79</v>
      </c>
      <c r="Z296" s="27">
        <f>$AF$21</f>
        <v>0</v>
      </c>
      <c r="AA296" s="60"/>
    </row>
    <row r="297" spans="23:27" x14ac:dyDescent="0.4">
      <c r="W297" s="3" t="s">
        <v>458</v>
      </c>
      <c r="X297" s="9" t="s">
        <v>465</v>
      </c>
      <c r="Y297" s="11" t="s">
        <v>77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320</v>
      </c>
      <c r="Y299" s="25"/>
      <c r="Z299" s="25"/>
    </row>
    <row r="300" spans="23:27" x14ac:dyDescent="0.4">
      <c r="X300" s="9" t="s">
        <v>322</v>
      </c>
      <c r="Y300" s="11" t="s">
        <v>78</v>
      </c>
      <c r="Z300" s="11"/>
    </row>
    <row r="301" spans="23:27" x14ac:dyDescent="0.4">
      <c r="X301" s="9" t="s">
        <v>321</v>
      </c>
      <c r="Y301" s="11" t="s">
        <v>79</v>
      </c>
      <c r="Z301" s="11"/>
    </row>
    <row r="302" spans="23:27" x14ac:dyDescent="0.4">
      <c r="Z302" s="5"/>
    </row>
    <row r="303" spans="23:27" x14ac:dyDescent="0.4">
      <c r="W303" s="61"/>
      <c r="X303" s="62" t="s">
        <v>510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369</v>
      </c>
      <c r="Z305" s="25"/>
    </row>
    <row r="306" spans="2:36" x14ac:dyDescent="0.4">
      <c r="W306" s="3" t="s">
        <v>162</v>
      </c>
      <c r="X306" s="31" t="s">
        <v>370</v>
      </c>
      <c r="Y306" s="27" t="s">
        <v>75</v>
      </c>
      <c r="Z306" s="40" t="e">
        <f>$O$6/$O$5+1</f>
        <v>#DIV/0!</v>
      </c>
    </row>
    <row r="307" spans="2:36" x14ac:dyDescent="0.4">
      <c r="W307" s="3" t="s">
        <v>163</v>
      </c>
      <c r="X307" s="10" t="s">
        <v>371</v>
      </c>
      <c r="Y307" s="27" t="s">
        <v>75</v>
      </c>
      <c r="Z307" s="41" t="e">
        <f>$O$7/$O$5+1</f>
        <v>#DIV/0!</v>
      </c>
    </row>
    <row r="308" spans="2:36" x14ac:dyDescent="0.4">
      <c r="X308" s="10" t="s">
        <v>383</v>
      </c>
      <c r="Y308" s="27" t="s">
        <v>75</v>
      </c>
      <c r="Z308" s="41">
        <f>_xlfn.CEILING.MATH($O$8/2)</f>
        <v>0</v>
      </c>
    </row>
    <row r="309" spans="2:36" x14ac:dyDescent="0.4">
      <c r="X309" s="10" t="s">
        <v>384</v>
      </c>
      <c r="Y309" s="11" t="s">
        <v>75</v>
      </c>
      <c r="Z309" s="41">
        <f>QUOTIENT($O$8,2)</f>
        <v>0</v>
      </c>
    </row>
    <row r="310" spans="2:36" x14ac:dyDescent="0.4">
      <c r="X310" s="28" t="s">
        <v>385</v>
      </c>
      <c r="Y310" s="55"/>
    </row>
    <row r="311" spans="2:36" x14ac:dyDescent="0.4">
      <c r="W311" s="3" t="s">
        <v>206</v>
      </c>
      <c r="X311" s="10" t="str">
        <f>IF($O$8&gt;=3,"ディンプル1列目-トップ端 湾曲中心間X距離", "-")</f>
        <v>-</v>
      </c>
      <c r="Y311" s="11" t="s">
        <v>79</v>
      </c>
      <c r="Z311" s="27" t="str">
        <f>IF($O$8&gt;=$U$13-5,$AF$105-$AF$31, "-")</f>
        <v>-</v>
      </c>
    </row>
    <row r="312" spans="2:36" ht="16.5" x14ac:dyDescent="0.4">
      <c r="W312" s="3" t="s">
        <v>207</v>
      </c>
      <c r="X312" s="10" t="str">
        <f>IF($O$8&gt;=4,"ディンプル2列目-トップ端 湾曲中心間X距離", "-")</f>
        <v>-</v>
      </c>
      <c r="Y312" s="11" t="s">
        <v>79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79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79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79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79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386</v>
      </c>
      <c r="Y317" s="11" t="s">
        <v>79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208</v>
      </c>
      <c r="X318" s="10" t="s">
        <v>387</v>
      </c>
      <c r="Y318" s="11" t="s">
        <v>79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248</v>
      </c>
      <c r="X319" s="9" t="str">
        <f>IF($O$8&gt;=3,"（傾き前）1列目Z座標","-")</f>
        <v>-</v>
      </c>
      <c r="Y319" s="11" t="s">
        <v>76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247</v>
      </c>
      <c r="X320" s="9" t="str">
        <f>IF($O$8&gt;=4,"（傾き前）2列目Z座標","-")</f>
        <v>-</v>
      </c>
      <c r="Y320" s="11" t="s">
        <v>76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76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76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76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76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249</v>
      </c>
      <c r="Y325" s="11" t="s">
        <v>76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251</v>
      </c>
      <c r="X326" s="9" t="s">
        <v>250</v>
      </c>
      <c r="Y326" s="11" t="s">
        <v>76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211</v>
      </c>
      <c r="X327" s="10" t="s">
        <v>214</v>
      </c>
      <c r="Y327" s="27" t="s">
        <v>79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213</v>
      </c>
      <c r="X328" s="10" t="str">
        <f>IF($O$8&gt;=3,"1列目 AC内径（水平・めっき含・概算）","-")</f>
        <v>-</v>
      </c>
      <c r="Y328" s="27" t="s">
        <v>79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215</v>
      </c>
      <c r="Y329" s="47" t="s">
        <v>79</v>
      </c>
      <c r="Z329" s="27" t="e">
        <f ca="1">($AF$96*$AF$134+$AF$104*$AF$126)/($AF$88-$AF$80)+$C$20*2</f>
        <v>#REF!</v>
      </c>
    </row>
    <row r="330" spans="2:36" x14ac:dyDescent="0.4">
      <c r="X330" s="10" t="s">
        <v>389</v>
      </c>
      <c r="Y330" s="27" t="s">
        <v>77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226</v>
      </c>
      <c r="X331" s="48" t="s">
        <v>390</v>
      </c>
      <c r="Y331" s="11" t="s">
        <v>77</v>
      </c>
      <c r="Z331" s="47" t="e">
        <f ca="1">DEGREES($AF$149)</f>
        <v>#REF!</v>
      </c>
    </row>
    <row r="332" spans="2:36" x14ac:dyDescent="0.4">
      <c r="W332" s="3" t="s">
        <v>226</v>
      </c>
      <c r="X332" s="48" t="s">
        <v>391</v>
      </c>
      <c r="Y332" s="11" t="s">
        <v>77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392</v>
      </c>
      <c r="Y333" s="50" t="s">
        <v>79</v>
      </c>
      <c r="Z333" s="27" t="e">
        <f ca="1">MIN($AF$152, $AF$153)</f>
        <v>#REF!</v>
      </c>
    </row>
    <row r="334" spans="2:36" x14ac:dyDescent="0.4">
      <c r="W334" s="3" t="s">
        <v>252</v>
      </c>
      <c r="X334" s="10" t="s">
        <v>292</v>
      </c>
      <c r="Y334" s="11" t="s">
        <v>78</v>
      </c>
      <c r="Z334" s="27" t="e">
        <f ca="1">($AF$89*$AF$162+$AF$97*$AF$154)/($AF$81-$AF$73)+$C$20*2</f>
        <v>#VALUE!</v>
      </c>
    </row>
    <row r="335" spans="2:36" x14ac:dyDescent="0.4">
      <c r="X335" s="10" t="s">
        <v>254</v>
      </c>
      <c r="Y335" s="11" t="s">
        <v>78</v>
      </c>
      <c r="Z335" s="27" t="e">
        <f ca="1">($AF$96*$AF$169+$AF$104*$AF$161)/($AF$88-$AF$80)+$C$20*2</f>
        <v>#REF!</v>
      </c>
    </row>
    <row r="336" spans="2:36" x14ac:dyDescent="0.4">
      <c r="X336" s="28" t="s">
        <v>394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79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79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79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79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79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79</v>
      </c>
      <c r="Z342" s="27" t="str">
        <f>IF($O$8&gt;=$U$13,$Z$316*$AF$143-($O$3+5*$O$4)*$AF$142, "-")</f>
        <v>-</v>
      </c>
    </row>
    <row r="343" spans="24:26" x14ac:dyDescent="0.4">
      <c r="X343" s="10" t="s">
        <v>386</v>
      </c>
      <c r="Y343" s="11" t="s">
        <v>79</v>
      </c>
      <c r="Z343" s="27" t="e">
        <f ca="1">$Z$317*$AF$143-($O$3+($O$8-2)*$O$4)*$AF$142</f>
        <v>#VALUE!</v>
      </c>
    </row>
    <row r="344" spans="24:26" x14ac:dyDescent="0.4">
      <c r="X344" s="10" t="s">
        <v>387</v>
      </c>
      <c r="Y344" s="11" t="s">
        <v>79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76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76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76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76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76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76</v>
      </c>
      <c r="Z350" s="27" t="str">
        <f>IF($O$8&gt;=$U$13-0,$Z$316*$AF$142+($O$3+5*$O$4)*$AF$143, "-")</f>
        <v>-</v>
      </c>
    </row>
    <row r="351" spans="24:26" x14ac:dyDescent="0.4">
      <c r="X351" s="10" t="s">
        <v>396</v>
      </c>
      <c r="Y351" s="11" t="s">
        <v>76</v>
      </c>
      <c r="Z351" s="27" t="e">
        <f ca="1">$Z$317*$AF$142+($O$3+($O$8-2)*$O$4)*$AF$143</f>
        <v>#VALUE!</v>
      </c>
    </row>
    <row r="352" spans="24:26" x14ac:dyDescent="0.4">
      <c r="X352" s="10" t="s">
        <v>397</v>
      </c>
      <c r="Y352" s="11" t="s">
        <v>76</v>
      </c>
      <c r="Z352" s="27" t="e">
        <f ca="1">$Z$318*$AF$142+($O$3+($O$8-1)*$O$4)*$AF$143</f>
        <v>#VALUE!</v>
      </c>
    </row>
    <row r="353" spans="23:27" x14ac:dyDescent="0.4">
      <c r="X353" s="28" t="s">
        <v>398</v>
      </c>
      <c r="Y353" s="55"/>
    </row>
    <row r="354" spans="23:27" x14ac:dyDescent="0.4">
      <c r="W354" s="3" t="s">
        <v>283</v>
      </c>
      <c r="X354" s="9" t="s">
        <v>288</v>
      </c>
      <c r="Y354" s="11" t="s">
        <v>79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284</v>
      </c>
      <c r="X355" s="9" t="s">
        <v>289</v>
      </c>
      <c r="Y355" s="11" t="s">
        <v>76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285</v>
      </c>
      <c r="X356" s="9" t="s">
        <v>290</v>
      </c>
      <c r="Y356" s="11" t="s">
        <v>79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286</v>
      </c>
      <c r="X357" s="9" t="s">
        <v>291</v>
      </c>
      <c r="Y357" s="50" t="s">
        <v>76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287</v>
      </c>
      <c r="Y358" s="47" t="s">
        <v>79</v>
      </c>
      <c r="Z358" s="27" t="e">
        <f ca="1">$Z$356-$Z$354</f>
        <v>#NUM!</v>
      </c>
    </row>
    <row r="359" spans="23:27" x14ac:dyDescent="0.4">
      <c r="X359" s="9" t="s">
        <v>626</v>
      </c>
      <c r="Y359" s="50" t="s">
        <v>76</v>
      </c>
      <c r="Z359" s="27" t="e">
        <f ca="1">$Z$357-$Z$355</f>
        <v>#NUM!</v>
      </c>
    </row>
  </sheetData>
  <phoneticPr fontId="1"/>
  <conditionalFormatting sqref="B12:C12">
    <cfRule type="expression" dxfId="187" priority="49">
      <formula>$C$7&lt;&gt;1</formula>
    </cfRule>
  </conditionalFormatting>
  <conditionalFormatting sqref="H9:I9 H5:K8 H3:I4 W242:AA242">
    <cfRule type="expression" dxfId="186" priority="22">
      <formula>$I$2&lt;&gt;1</formula>
    </cfRule>
  </conditionalFormatting>
  <conditionalFormatting sqref="H5:K5">
    <cfRule type="expression" dxfId="185" priority="45">
      <formula>$I$4&lt;&gt;0</formula>
    </cfRule>
  </conditionalFormatting>
  <conditionalFormatting sqref="H12:I14 H15:K18 H19:I19 W150:AA150 W151:Z154 W144:Z149">
    <cfRule type="expression" dxfId="184" priority="18">
      <formula>$I$11&lt;&gt;1</formula>
    </cfRule>
  </conditionalFormatting>
  <conditionalFormatting sqref="H13:I13">
    <cfRule type="expression" dxfId="183" priority="46">
      <formula>$I$11&lt;&gt;1</formula>
    </cfRule>
  </conditionalFormatting>
  <conditionalFormatting sqref="H33:I33">
    <cfRule type="expression" dxfId="182" priority="5">
      <formula>$I$27=1</formula>
    </cfRule>
  </conditionalFormatting>
  <conditionalFormatting sqref="H37:I37">
    <cfRule type="expression" dxfId="181" priority="148">
      <formula>AND($I$26&lt;&gt;1, $I$26&lt;&gt;5)</formula>
    </cfRule>
  </conditionalFormatting>
  <conditionalFormatting sqref="H38:I38">
    <cfRule type="expression" dxfId="180" priority="146">
      <formula>AND($I$26&lt;&gt;2, $I$26&lt;&gt;5)</formula>
    </cfRule>
  </conditionalFormatting>
  <conditionalFormatting sqref="N3:O10 X120:AA120 X121:Z131 X118:Z119 X134:Z134">
    <cfRule type="expression" dxfId="179" priority="76">
      <formula>$O$2&lt;&gt;1</formula>
    </cfRule>
  </conditionalFormatting>
  <conditionalFormatting sqref="H43:I43">
    <cfRule type="expression" dxfId="178" priority="143">
      <formula>$I$41&lt;&gt;1</formula>
    </cfRule>
  </conditionalFormatting>
  <conditionalFormatting sqref="H48:I48">
    <cfRule type="expression" dxfId="177" priority="142">
      <formula>$I$46&lt;&gt;1</formula>
    </cfRule>
  </conditionalFormatting>
  <conditionalFormatting sqref="H53:I53">
    <cfRule type="expression" dxfId="176" priority="126">
      <formula>$I$51&lt;&gt;1</formula>
    </cfRule>
  </conditionalFormatting>
  <conditionalFormatting sqref="H58:I58">
    <cfRule type="expression" dxfId="175" priority="131">
      <formula>$I$56&lt;&gt;1</formula>
    </cfRule>
  </conditionalFormatting>
  <conditionalFormatting sqref="N16:O20 W166:AA166 W157:Z165">
    <cfRule type="expression" dxfId="174" priority="89">
      <formula>$O$15&lt;&gt;1</formula>
    </cfRule>
  </conditionalFormatting>
  <conditionalFormatting sqref="N23:O26 W173:AA173 W174:Z175 W169:Z172">
    <cfRule type="expression" dxfId="173" priority="71">
      <formula>$O$22&lt;&gt;1</formula>
    </cfRule>
  </conditionalFormatting>
  <conditionalFormatting sqref="H18:K18">
    <cfRule type="expression" dxfId="172" priority="93">
      <formula>$I$14&lt;&gt;1</formula>
    </cfRule>
  </conditionalFormatting>
  <conditionalFormatting sqref="H28:K28">
    <cfRule type="expression" dxfId="171" priority="14">
      <formula>$I$26=4</formula>
    </cfRule>
  </conditionalFormatting>
  <conditionalFormatting sqref="H32:K32">
    <cfRule type="expression" dxfId="170" priority="193">
      <formula>$I$27=0</formula>
    </cfRule>
  </conditionalFormatting>
  <conditionalFormatting sqref="C8">
    <cfRule type="expression" dxfId="169" priority="186">
      <formula>OR($C$8&lt;0, ISBLANK($C$8))</formula>
    </cfRule>
  </conditionalFormatting>
  <conditionalFormatting sqref="C10">
    <cfRule type="expression" dxfId="168" priority="179">
      <formula>OR(ISBLANK($C$10), $C$10&lt;0, $Z$9&lt;364, $Z$10&lt;345)</formula>
    </cfRule>
  </conditionalFormatting>
  <conditionalFormatting sqref="C15:C16">
    <cfRule type="expression" dxfId="167" priority="180">
      <formula>$C$15&lt;=0</formula>
    </cfRule>
  </conditionalFormatting>
  <conditionalFormatting sqref="C17">
    <cfRule type="expression" dxfId="166" priority="153">
      <formula>OR($C$17&lt;=0, $C$17&gt;=MIN($C$15, $C$16)/4)</formula>
    </cfRule>
  </conditionalFormatting>
  <conditionalFormatting sqref="I2">
    <cfRule type="expression" dxfId="165" priority="152">
      <formula>OR(ISBLANK($I$2), AND($I$2&lt;&gt;0, $I$2&lt;&gt;1))</formula>
    </cfRule>
  </conditionalFormatting>
  <conditionalFormatting sqref="I3">
    <cfRule type="expression" dxfId="164" priority="118">
      <formula>OR(ISBLANK($I$3), AND($I$3&lt;&gt;0, $I$3&lt;&gt;1))</formula>
    </cfRule>
  </conditionalFormatting>
  <conditionalFormatting sqref="I4">
    <cfRule type="expression" dxfId="163" priority="86">
      <formula>OR(ISBLANK($I$4), AND($I$4&lt;&gt;0, $I$4&lt;&gt;1))</formula>
    </cfRule>
  </conditionalFormatting>
  <conditionalFormatting sqref="I8">
    <cfRule type="expression" dxfId="162" priority="185">
      <formula>IF($I$2=1,OR(IFBLANK($I$8), $I$8&lt;=0, $I$8&gt;=$Z$10/4),$I$8&lt;&gt;"")</formula>
    </cfRule>
  </conditionalFormatting>
  <conditionalFormatting sqref="I9">
    <cfRule type="expression" dxfId="161" priority="117">
      <formula>OR($I$9&lt;1, $I$9&gt;=MIN($I$6, $I$7)/4)</formula>
    </cfRule>
  </conditionalFormatting>
  <conditionalFormatting sqref="I11">
    <cfRule type="expression" dxfId="160" priority="164">
      <formula>OR(ISBLANK($I$11), AND($I$11&lt;&gt;0, $I$11&lt;&gt;1))</formula>
    </cfRule>
  </conditionalFormatting>
  <conditionalFormatting sqref="I12">
    <cfRule type="expression" dxfId="159" priority="144">
      <formula>OR(ISBLANK($I$12), AND($I$12&lt;&gt;0, $I$12&lt;&gt;1))</formula>
    </cfRule>
  </conditionalFormatting>
  <conditionalFormatting sqref="I13">
    <cfRule type="expression" dxfId="158" priority="47">
      <formula>OR(ISBLANK($I$13), AND($I$13&lt;&gt;0, $I$13&lt;&gt;1))</formula>
    </cfRule>
  </conditionalFormatting>
  <conditionalFormatting sqref="I14">
    <cfRule type="expression" dxfId="157" priority="121">
      <formula>OR(ISBLANK($I$14), AND($I$14&lt;&gt;0, $I$14&lt;&gt;1))</formula>
    </cfRule>
  </conditionalFormatting>
  <conditionalFormatting sqref="I19">
    <cfRule type="expression" dxfId="156" priority="163">
      <formula>OR($I$19&lt;=0, $I$19&gt;=MIN($I$16, $I$17)/4, $I$19&lt;1)</formula>
    </cfRule>
  </conditionalFormatting>
  <conditionalFormatting sqref="I26">
    <cfRule type="expression" dxfId="155" priority="165">
      <formula>OR(ISBLANK($I$26), AND($I$26&lt;&gt;1, $I$26&lt;&gt;2,$I$26&lt;&gt;3, $I$26&lt;&gt;4, $I$26&lt;&gt;5))</formula>
    </cfRule>
  </conditionalFormatting>
  <conditionalFormatting sqref="I27">
    <cfRule type="expression" dxfId="154" priority="151">
      <formula>OR(ISBLANK($I$27), AND($I$27&lt;&gt;0, $I$27&lt;&gt;1))</formula>
    </cfRule>
  </conditionalFormatting>
  <conditionalFormatting sqref="I37">
    <cfRule type="expression" dxfId="153" priority="149">
      <formula>AND(OR($I$26=1, $I$26=5), OR($I$37&lt;=0, $I$37&gt;=MIN($I$28, $I$29)/4), ISBLANK($I$37))</formula>
    </cfRule>
  </conditionalFormatting>
  <conditionalFormatting sqref="I38">
    <cfRule type="expression" dxfId="152" priority="147">
      <formula>IF(OR($I$26=2, $I$26=5),OR($I$38&lt;=0, $I$38&gt;=MIN($I$28, $I$29)/4),$I$38&lt;&gt;"")</formula>
    </cfRule>
  </conditionalFormatting>
  <conditionalFormatting sqref="O2">
    <cfRule type="expression" dxfId="151" priority="83">
      <formula>OR(ISBLANK($O$2), AND($O$2&lt;&gt;0, $O$2&lt;&gt;1))</formula>
    </cfRule>
  </conditionalFormatting>
  <conditionalFormatting sqref="O6">
    <cfRule type="expression" dxfId="150" priority="189">
      <formula>OR($O$6&lt;=0, MOD($O$6,$O$5)&lt;&gt;0, $O$6&gt;=#REF!)</formula>
    </cfRule>
  </conditionalFormatting>
  <conditionalFormatting sqref="O10">
    <cfRule type="expression" dxfId="149" priority="123">
      <formula>OR(ISBLANK($O$10), AND($O$10&lt;&gt;20, $O$10&lt;&gt;6.6, $O$10&lt;&gt;15))</formula>
    </cfRule>
  </conditionalFormatting>
  <conditionalFormatting sqref="I43">
    <cfRule type="expression" dxfId="148" priority="157">
      <formula>IF($I$41=1,AND($I$43&lt;&gt;15, $I$43&lt;&gt;30, $I$43&lt;&gt;45),$I$43&lt;&gt;"")</formula>
    </cfRule>
  </conditionalFormatting>
  <conditionalFormatting sqref="C76">
    <cfRule type="expression" dxfId="147" priority="140">
      <formula>IF($C$75=1,OR($C$76&lt;=0, $C$76&gt;=#REF!/4),$C$76&lt;&gt;"")</formula>
    </cfRule>
  </conditionalFormatting>
  <conditionalFormatting sqref="I48">
    <cfRule type="expression" dxfId="146" priority="158">
      <formula>IF($I$46=1,AND($I$48&lt;&gt;15, $I$48&lt;&gt;30, $I$48&lt;&gt;45),$I$48&lt;&gt;"")</formula>
    </cfRule>
  </conditionalFormatting>
  <conditionalFormatting sqref="I53">
    <cfRule type="expression" dxfId="145" priority="128">
      <formula>IF($I$51=1,AND($I$53&lt;&gt;15, $I$53&lt;&gt;30, $I$53&lt;&gt;45),$I$53&lt;&gt;"")</formula>
    </cfRule>
  </conditionalFormatting>
  <conditionalFormatting sqref="I58">
    <cfRule type="expression" dxfId="144" priority="154">
      <formula>IF($I$56=1,AND($I$58&lt;&gt;15, $I$58&lt;&gt;30, $I$58&lt;&gt;45),$I$58&lt;&gt;"")</formula>
    </cfRule>
  </conditionalFormatting>
  <conditionalFormatting sqref="O22">
    <cfRule type="expression" dxfId="143" priority="84">
      <formula>OR(ISBLANK($O$22), AND($O$22&lt;&gt;0, $O$22&lt;&gt;1))</formula>
    </cfRule>
  </conditionalFormatting>
  <conditionalFormatting sqref="U3">
    <cfRule type="expression" dxfId="142" priority="182">
      <formula>AND(U3&lt;&gt;330, U3&lt;&gt;270, U3&lt;&gt;250)</formula>
    </cfRule>
  </conditionalFormatting>
  <conditionalFormatting sqref="U4">
    <cfRule type="expression" dxfId="141" priority="181">
      <formula>U4&lt;&gt;40</formula>
    </cfRule>
  </conditionalFormatting>
  <conditionalFormatting sqref="U7">
    <cfRule type="expression" dxfId="140" priority="175">
      <formula>OR(U7&gt;0, ABS(ABS(U7)-740)&gt;=1)</formula>
    </cfRule>
  </conditionalFormatting>
  <conditionalFormatting sqref="U8">
    <cfRule type="expression" dxfId="139" priority="178">
      <formula>OR(U8&gt;0, ABS(ABS(U8)-550)&gt;=1)</formula>
    </cfRule>
  </conditionalFormatting>
  <conditionalFormatting sqref="U9">
    <cfRule type="expression" dxfId="138" priority="176">
      <formula>OR(U9&gt;0, ABS(ABS(U9)-1150)&gt;=1)</formula>
    </cfRule>
  </conditionalFormatting>
  <conditionalFormatting sqref="U10">
    <cfRule type="expression" dxfId="137" priority="177">
      <formula>OR(ABS(U10)&gt;=0.2)</formula>
    </cfRule>
  </conditionalFormatting>
  <conditionalFormatting sqref="W63:Z66 W67:AA67 W68:Z71">
    <cfRule type="expression" dxfId="136" priority="223">
      <formula>$Z$63=""</formula>
    </cfRule>
  </conditionalFormatting>
  <conditionalFormatting sqref="W100:Z102 W103:AA103 W104:Z106">
    <cfRule type="expression" dxfId="135" priority="109">
      <formula>NOT($Z$100&lt;&gt;"")</formula>
    </cfRule>
  </conditionalFormatting>
  <conditionalFormatting sqref="X76:Z76">
    <cfRule type="expression" dxfId="134" priority="98">
      <formula>NOT($Z$42="")</formula>
    </cfRule>
  </conditionalFormatting>
  <conditionalFormatting sqref="X60:AA60">
    <cfRule type="expression" dxfId="133" priority="101">
      <formula>NOT($Z$42="")</formula>
    </cfRule>
  </conditionalFormatting>
  <conditionalFormatting sqref="X75:AA76">
    <cfRule type="expression" dxfId="132" priority="100">
      <formula>NOT($Z$63="")</formula>
    </cfRule>
  </conditionalFormatting>
  <conditionalFormatting sqref="X97:AA97">
    <cfRule type="expression" dxfId="131" priority="99">
      <formula>NOT($Z$79="")</formula>
    </cfRule>
  </conditionalFormatting>
  <conditionalFormatting sqref="X115:AA115">
    <cfRule type="expression" dxfId="130" priority="96">
      <formula>NOT($Z$110="")</formula>
    </cfRule>
  </conditionalFormatting>
  <conditionalFormatting sqref="Y4:Y5">
    <cfRule type="expression" dxfId="129" priority="52">
      <formula>Y4="Y"</formula>
    </cfRule>
    <cfRule type="expression" dxfId="128" priority="53">
      <formula>Y4="X"</formula>
    </cfRule>
    <cfRule type="expression" dxfId="127" priority="54">
      <formula>Y4="Z"</formula>
    </cfRule>
    <cfRule type="expression" dxfId="126" priority="55">
      <formula>Y4="B"</formula>
    </cfRule>
  </conditionalFormatting>
  <conditionalFormatting sqref="Y7:Y116 Y118:Y132 Y134:Y135 Y137:Y210 Y212:Y225 Y227:Y271 Y273:Y283 Y285:Y304 Y306:Y1048576">
    <cfRule type="expression" dxfId="125" priority="2064">
      <formula>Y7="X"</formula>
    </cfRule>
    <cfRule type="expression" dxfId="124" priority="2066">
      <formula>Y7="Z"</formula>
    </cfRule>
    <cfRule type="expression" dxfId="123" priority="2208">
      <formula>Y7="B"</formula>
    </cfRule>
  </conditionalFormatting>
  <conditionalFormatting sqref="Y7:Y116 Y137:Y210 Y285:Y304 Y227:Y271 Y118:Y132 Y134:Y135 Y212:Y225 Y273:Y283 Y306:Y1048576">
    <cfRule type="expression" dxfId="122" priority="1972">
      <formula>Y7="Y"</formula>
    </cfRule>
  </conditionalFormatting>
  <conditionalFormatting sqref="Z11">
    <cfRule type="expression" dxfId="121" priority="111">
      <formula>$Z$11&lt;=0</formula>
    </cfRule>
  </conditionalFormatting>
  <conditionalFormatting sqref="Z12">
    <cfRule type="expression" dxfId="120" priority="110">
      <formula>$Z$12&lt;=0</formula>
    </cfRule>
  </conditionalFormatting>
  <conditionalFormatting sqref="Z118">
    <cfRule type="expression" dxfId="119" priority="233">
      <formula>OR($Z$118&lt;&gt;#REF!, #REF!&lt;&gt;#REF!, #REF!&lt;&gt;$Z$118)</formula>
    </cfRule>
  </conditionalFormatting>
  <conditionalFormatting sqref="Z306">
    <cfRule type="expression" dxfId="118" priority="174">
      <formula>OR($Z$306&lt;=1, INT($Z$306)&lt;&gt;$Z$306)</formula>
    </cfRule>
  </conditionalFormatting>
  <conditionalFormatting sqref="Z307">
    <cfRule type="expression" dxfId="117" priority="166">
      <formula>OR($Z$307&lt;0, INT($Z$307)&lt;&gt;$Z$307)</formula>
    </cfRule>
  </conditionalFormatting>
  <conditionalFormatting sqref="Z308">
    <cfRule type="expression" dxfId="116" priority="171">
      <formula>OR($Z$308&lt;1, INT($Z$308)&lt;&gt;$Z$308)</formula>
    </cfRule>
  </conditionalFormatting>
  <conditionalFormatting sqref="Z309">
    <cfRule type="expression" dxfId="115" priority="170">
      <formula>OR($Z$309&lt;0, INT($Z$309)&lt;&gt;$Z$309)</formula>
    </cfRule>
  </conditionalFormatting>
  <conditionalFormatting sqref="AF2 C21">
    <cfRule type="expression" dxfId="114" priority="172">
      <formula>ISERROR(INDIRECT($AF$2&amp;"!$G$45"))</formula>
    </cfRule>
  </conditionalFormatting>
  <conditionalFormatting sqref="AF116:AF118 Z337:Z352">
    <cfRule type="expression" dxfId="113" priority="169">
      <formula>$Z$309&lt;0</formula>
    </cfRule>
  </conditionalFormatting>
  <conditionalFormatting sqref="AF170:AF183">
    <cfRule type="expression" dxfId="112" priority="168">
      <formula>$Z$309&lt;0</formula>
    </cfRule>
  </conditionalFormatting>
  <conditionalFormatting sqref="O15">
    <cfRule type="expression" dxfId="111" priority="44">
      <formula>OR(ISBLANK($O$15), AND($O$15&lt;&gt;0, $O$15&lt;&gt;1))</formula>
    </cfRule>
  </conditionalFormatting>
  <conditionalFormatting sqref="D9">
    <cfRule type="expression" dxfId="110" priority="43">
      <formula>ABS($D$9)&gt;1</formula>
    </cfRule>
  </conditionalFormatting>
  <conditionalFormatting sqref="E9">
    <cfRule type="expression" dxfId="109" priority="42">
      <formula>OR(ABS($E$9)&gt;1, $E$9&gt;=$D$9)</formula>
    </cfRule>
  </conditionalFormatting>
  <conditionalFormatting sqref="D15">
    <cfRule type="expression" dxfId="108" priority="41">
      <formula>ABS($D$15)&gt;0.5</formula>
    </cfRule>
  </conditionalFormatting>
  <conditionalFormatting sqref="E15">
    <cfRule type="expression" dxfId="107" priority="40">
      <formula>OR(ABS($E$15)&gt;0.5, $E$15&gt;=$D$15)</formula>
    </cfRule>
  </conditionalFormatting>
  <conditionalFormatting sqref="D21">
    <cfRule type="expression" dxfId="106" priority="39">
      <formula>ABS($D$21)&gt;0.5</formula>
    </cfRule>
  </conditionalFormatting>
  <conditionalFormatting sqref="E21">
    <cfRule type="expression" dxfId="105" priority="38">
      <formula>OR(ABS($E$21)&gt;0.5, $E$21&gt;=$D$21)</formula>
    </cfRule>
  </conditionalFormatting>
  <conditionalFormatting sqref="D16">
    <cfRule type="expression" dxfId="104" priority="37">
      <formula>ABS($D$16)&gt;0.5</formula>
    </cfRule>
  </conditionalFormatting>
  <conditionalFormatting sqref="E16">
    <cfRule type="expression" dxfId="103" priority="36">
      <formula>OR(ABS($E$16)&gt;0.5, $E$16&gt;=$D$16)</formula>
    </cfRule>
  </conditionalFormatting>
  <conditionalFormatting sqref="J29">
    <cfRule type="expression" dxfId="102" priority="33">
      <formula>ABS($J$29)&gt;0.5</formula>
    </cfRule>
  </conditionalFormatting>
  <conditionalFormatting sqref="K29">
    <cfRule type="expression" dxfId="101" priority="32">
      <formula>OR(ABS($K$29)&gt;0.5, $K$29&gt;=$J$29)</formula>
    </cfRule>
  </conditionalFormatting>
  <conditionalFormatting sqref="J30">
    <cfRule type="expression" dxfId="100" priority="31">
      <formula>ABS($J$30)&gt;0.5</formula>
    </cfRule>
  </conditionalFormatting>
  <conditionalFormatting sqref="K30">
    <cfRule type="expression" dxfId="99" priority="30">
      <formula>OR(ABS($K$30)&gt;0.5, $K$30&gt;=$J$30)</formula>
    </cfRule>
  </conditionalFormatting>
  <conditionalFormatting sqref="J31">
    <cfRule type="expression" dxfId="98" priority="29">
      <formula>ABS($J$31)&gt;0.5</formula>
    </cfRule>
  </conditionalFormatting>
  <conditionalFormatting sqref="K31">
    <cfRule type="expression" dxfId="97" priority="28">
      <formula>OR(ABS($K$31)&gt;0.5, $K$31&gt;=$J$31)</formula>
    </cfRule>
  </conditionalFormatting>
  <conditionalFormatting sqref="J5">
    <cfRule type="expression" dxfId="96" priority="27">
      <formula>ABS($J$5)&gt;0.5</formula>
    </cfRule>
  </conditionalFormatting>
  <conditionalFormatting sqref="K5">
    <cfRule type="expression" dxfId="95" priority="87">
      <formula>OR(ABS($K$5)&gt;0.5, $K$5&gt;=$J$5)</formula>
    </cfRule>
  </conditionalFormatting>
  <conditionalFormatting sqref="J6">
    <cfRule type="expression" dxfId="94" priority="25">
      <formula>ABS($J$6)&gt;0.5</formula>
    </cfRule>
  </conditionalFormatting>
  <conditionalFormatting sqref="K6">
    <cfRule type="expression" dxfId="93" priority="24">
      <formula>OR(ABS($K$6)&gt;0.5, $K$6&gt;=$J$6)</formula>
    </cfRule>
  </conditionalFormatting>
  <conditionalFormatting sqref="J7">
    <cfRule type="expression" dxfId="92" priority="23">
      <formula>ABS($J$7)&gt;0.5</formula>
    </cfRule>
  </conditionalFormatting>
  <conditionalFormatting sqref="K7">
    <cfRule type="expression" dxfId="91" priority="26">
      <formula>OR(ABS($K$7)&gt;0.5, $K$7&gt;=$J$7)</formula>
    </cfRule>
  </conditionalFormatting>
  <conditionalFormatting sqref="J16">
    <cfRule type="expression" dxfId="90" priority="21">
      <formula>ABS($J$16)&gt;0.5</formula>
    </cfRule>
  </conditionalFormatting>
  <conditionalFormatting sqref="K16">
    <cfRule type="expression" dxfId="89" priority="94">
      <formula>OR(ABS($K$16)&gt;0.5, $K$16&gt;=$J$16)</formula>
    </cfRule>
  </conditionalFormatting>
  <conditionalFormatting sqref="J17">
    <cfRule type="expression" dxfId="88" priority="19">
      <formula>ABS($J$17)&gt;0.5</formula>
    </cfRule>
  </conditionalFormatting>
  <conditionalFormatting sqref="K17">
    <cfRule type="expression" dxfId="87" priority="20">
      <formula>OR(ABS($K$17)&gt;0.5, $K$17&gt;=$J$17)</formula>
    </cfRule>
  </conditionalFormatting>
  <conditionalFormatting sqref="J23">
    <cfRule type="expression" dxfId="86" priority="17">
      <formula>ABS($J$23)&gt;0.5</formula>
    </cfRule>
  </conditionalFormatting>
  <conditionalFormatting sqref="K23">
    <cfRule type="expression" dxfId="85" priority="1924">
      <formula>ISBLANK($K$23)</formula>
    </cfRule>
  </conditionalFormatting>
  <conditionalFormatting sqref="J28">
    <cfRule type="expression" dxfId="84" priority="15">
      <formula>ABS($J$28)&gt;0.5</formula>
    </cfRule>
  </conditionalFormatting>
  <conditionalFormatting sqref="K28">
    <cfRule type="expression" dxfId="83" priority="150">
      <formula>OR(ABS($K$28)&gt;0.5, $K$28&gt;=$J$28)</formula>
    </cfRule>
  </conditionalFormatting>
  <conditionalFormatting sqref="W235:Z235 W236:AA236 W237:Z241 W242:AA242 W243:Z244">
    <cfRule type="expression" dxfId="82" priority="1791">
      <formula>OR($I$2&lt;&gt;1, AND($I$2&lt;&gt;0, $I$4&lt;&gt;0))</formula>
    </cfRule>
  </conditionalFormatting>
  <conditionalFormatting sqref="W247:Z247 W248:AA248 W249:Z253 W254:AA254 W255:Z257">
    <cfRule type="expression" dxfId="81" priority="1793">
      <formula>$I$4&lt;&gt;1</formula>
    </cfRule>
  </conditionalFormatting>
  <conditionalFormatting sqref="W17:AA17">
    <cfRule type="expression" dxfId="80" priority="1880">
      <formula>$I$2&lt;&gt;0</formula>
    </cfRule>
  </conditionalFormatting>
  <conditionalFormatting sqref="W188:Z189">
    <cfRule type="expression" dxfId="79" priority="1913">
      <formula>AND($I$11&lt;&gt;0, $I$14&lt;&gt;0)</formula>
    </cfRule>
  </conditionalFormatting>
  <conditionalFormatting sqref="W190:Z191">
    <cfRule type="expression" dxfId="78" priority="1796">
      <formula>OR($I$11&lt;&gt;1, AND($I$11&lt;&gt;0, $I$14&lt;&gt;1))</formula>
    </cfRule>
  </conditionalFormatting>
  <conditionalFormatting sqref="W21:AA21">
    <cfRule type="expression" dxfId="77" priority="1915">
      <formula>$I$11&lt;&gt;0</formula>
    </cfRule>
  </conditionalFormatting>
  <conditionalFormatting sqref="H22:I22 H23:K23">
    <cfRule type="expression" dxfId="76" priority="187">
      <formula>NOT(AND($I$2=1, $I$11=1))</formula>
    </cfRule>
  </conditionalFormatting>
  <conditionalFormatting sqref="I22">
    <cfRule type="expression" dxfId="75" priority="1926">
      <formula>IF(AND($I$2=1, $I$11=1), AND($I$22&lt;&gt;1, $I$22&lt;&gt;2), $I$22&lt;&gt;"")</formula>
    </cfRule>
  </conditionalFormatting>
  <conditionalFormatting sqref="I23">
    <cfRule type="expression" dxfId="74" priority="1927">
      <formula>AND(AND($I$2=1, $I$11=1), OR(ISBLANK($I$23), $I$23&lt;0, $I$23&gt;=$I$6/4))</formula>
    </cfRule>
  </conditionalFormatting>
  <conditionalFormatting sqref="W286:Z287 W288:AA289 W290:Z297">
    <cfRule type="expression" dxfId="73" priority="1929">
      <formula>OR($I$2&lt;&gt;1, $I$11&lt;&gt;1)</formula>
    </cfRule>
  </conditionalFormatting>
  <conditionalFormatting sqref="H15:K15">
    <cfRule type="expression" dxfId="72" priority="1958">
      <formula>AND($I$2&lt;&gt;0, $I$22&lt;&gt;2)</formula>
    </cfRule>
  </conditionalFormatting>
  <conditionalFormatting sqref="W18:AA18 W22:AA22">
    <cfRule type="expression" dxfId="71" priority="1969">
      <formula>OR($I$22&lt;&gt;1, AND($I$2=1, $I$11=0))</formula>
    </cfRule>
  </conditionalFormatting>
  <conditionalFormatting sqref="W19:AA19">
    <cfRule type="expression" dxfId="70" priority="1872">
      <formula>OR($I$22&lt;&gt;2, AND($I$2=0, $I$11=1))</formula>
    </cfRule>
  </conditionalFormatting>
  <conditionalFormatting sqref="W23:AA23">
    <cfRule type="expression" dxfId="69" priority="1914">
      <formula>OR($I$11&lt;&gt;1, AND($I$11&lt;&gt;0, $I$2&lt;&gt;0, $I$22&lt;&gt;2))</formula>
    </cfRule>
  </conditionalFormatting>
  <conditionalFormatting sqref="W25:AA25">
    <cfRule type="expression" dxfId="68" priority="1867">
      <formula>NOT(AND($I$27&lt;&gt;0,$I$11&lt;&gt;1))</formula>
    </cfRule>
  </conditionalFormatting>
  <conditionalFormatting sqref="W26:AA26">
    <cfRule type="expression" dxfId="67" priority="2065">
      <formula>OR($I$11&lt;&gt;0, AND($I$11&lt;&gt;1, $I$27&lt;&gt;0))</formula>
    </cfRule>
  </conditionalFormatting>
  <conditionalFormatting sqref="X107:AA107">
    <cfRule type="expression" dxfId="66" priority="1804">
      <formula>AND($I$11&lt;&gt;1, $I$27&lt;&gt;1)</formula>
    </cfRule>
  </conditionalFormatting>
  <conditionalFormatting sqref="Y2:Y3">
    <cfRule type="expression" dxfId="65" priority="2090">
      <formula>$O$2&lt;&gt;1</formula>
    </cfRule>
    <cfRule type="expression" dxfId="64" priority="2091">
      <formula>Y2="Y"</formula>
    </cfRule>
    <cfRule type="expression" dxfId="63" priority="2092">
      <formula>Y2="X"</formula>
    </cfRule>
    <cfRule type="expression" dxfId="62" priority="2093">
      <formula>Y2="Z"</formula>
    </cfRule>
    <cfRule type="expression" dxfId="61" priority="2094">
      <formula>Y2="B"</formula>
    </cfRule>
  </conditionalFormatting>
  <conditionalFormatting sqref="O8">
    <cfRule type="expression" dxfId="60" priority="2127">
      <formula>OR(O8-QUOTIENT(O8,1)&lt;&gt;0, O8&lt;0, O8&gt;$U$13)</formula>
    </cfRule>
  </conditionalFormatting>
  <conditionalFormatting sqref="Z10">
    <cfRule type="expression" dxfId="59" priority="2149">
      <formula>$Z$10&lt;=$U$3</formula>
    </cfRule>
  </conditionalFormatting>
  <conditionalFormatting sqref="W31:Z31">
    <cfRule type="expression" dxfId="58" priority="2152">
      <formula>$Z$30&lt;&gt;$U$33</formula>
    </cfRule>
  </conditionalFormatting>
  <conditionalFormatting sqref="W32:Z33 W36:Z37 W39:Z39">
    <cfRule type="expression" dxfId="57" priority="2153">
      <formula>$Z$30&lt;&gt;$U$38</formula>
    </cfRule>
  </conditionalFormatting>
  <conditionalFormatting sqref="W42:Z43 W44:AA44">
    <cfRule type="expression" dxfId="56" priority="2156">
      <formula>$Z$42&lt;&gt;$U$34</formula>
    </cfRule>
  </conditionalFormatting>
  <conditionalFormatting sqref="W64:Z64 W72:Z73">
    <cfRule type="expression" dxfId="55" priority="2158">
      <formula>$Z$63&lt;&gt;$U$33</formula>
    </cfRule>
  </conditionalFormatting>
  <conditionalFormatting sqref="W65:Z66 W69:Z70 W74:Z74">
    <cfRule type="expression" dxfId="54" priority="2160">
      <formula>$Z$63&lt;&gt;$U$38</formula>
    </cfRule>
  </conditionalFormatting>
  <conditionalFormatting sqref="W79:Z80 W81:AA81">
    <cfRule type="expression" dxfId="53" priority="2163">
      <formula>$Z$79&lt;&gt;$U$34</formula>
    </cfRule>
  </conditionalFormatting>
  <conditionalFormatting sqref="W84:Z85 W86:AA86 W87:Z89">
    <cfRule type="expression" dxfId="52" priority="2165">
      <formula>$Z$84&lt;&gt;$U$36</formula>
    </cfRule>
  </conditionalFormatting>
  <conditionalFormatting sqref="W92:Z93 W94:AA94 W95:Z95">
    <cfRule type="expression" dxfId="51" priority="2168">
      <formula>$Z$92&lt;&gt;$U$37</formula>
    </cfRule>
  </conditionalFormatting>
  <conditionalFormatting sqref="W228:Z228 W230:Z230 W231:AA231 W232:Z232">
    <cfRule type="expression" dxfId="50" priority="2171">
      <formula>$Z$230&lt;&gt;$U$42</formula>
    </cfRule>
  </conditionalFormatting>
  <conditionalFormatting sqref="Z30">
    <cfRule type="expression" dxfId="49" priority="2175">
      <formula>AND($Z$30&lt;&gt;$U$33, $Z$30&lt;&gt;$U$38)</formula>
    </cfRule>
  </conditionalFormatting>
  <conditionalFormatting sqref="Z47">
    <cfRule type="expression" dxfId="48" priority="2176">
      <formula>$Z$47&lt;&gt;$U$36</formula>
    </cfRule>
  </conditionalFormatting>
  <conditionalFormatting sqref="Z55">
    <cfRule type="expression" dxfId="47" priority="2177">
      <formula>$Z$55&lt;&gt;$U$37</formula>
    </cfRule>
  </conditionalFormatting>
  <conditionalFormatting sqref="Z100">
    <cfRule type="expression" dxfId="46" priority="2178">
      <formula>$Z$100&lt;&gt;$U$35</formula>
    </cfRule>
  </conditionalFormatting>
  <conditionalFormatting sqref="Z145 Z158 Z170">
    <cfRule type="expression" dxfId="45" priority="2179">
      <formula>$Z$145&lt;&gt;$U$43</formula>
    </cfRule>
  </conditionalFormatting>
  <conditionalFormatting sqref="Z180">
    <cfRule type="expression" dxfId="44" priority="2182">
      <formula>$Z$180&lt;&gt;$U$45</formula>
    </cfRule>
  </conditionalFormatting>
  <conditionalFormatting sqref="Z201">
    <cfRule type="expression" dxfId="43" priority="2183">
      <formula>$Z$201&lt;&gt;$U$46</formula>
    </cfRule>
  </conditionalFormatting>
  <conditionalFormatting sqref="Z215">
    <cfRule type="expression" dxfId="42" priority="2184">
      <formula>$Z$215&lt;&gt;$U$48</formula>
    </cfRule>
  </conditionalFormatting>
  <conditionalFormatting sqref="Z249">
    <cfRule type="expression" dxfId="41" priority="2185">
      <formula>$Z$249&lt;&gt;$U$44</formula>
    </cfRule>
  </conditionalFormatting>
  <conditionalFormatting sqref="Z262">
    <cfRule type="expression" dxfId="40" priority="2186">
      <formula>$Z$262&lt;&gt;$U$46</formula>
    </cfRule>
  </conditionalFormatting>
  <conditionalFormatting sqref="Z287 Z276">
    <cfRule type="expression" dxfId="39" priority="2187">
      <formula>$Z$276&lt;&gt;$U$48</formula>
    </cfRule>
  </conditionalFormatting>
  <conditionalFormatting sqref="Z137:AA137 Z138 Z139:AA139 AA140 Z141:AA141 Z179 Z200 Z214 Z229 Z236 Z261 Z275">
    <cfRule type="expression" dxfId="38" priority="2190">
      <formula>$Z$139&lt;&gt;$U$42</formula>
    </cfRule>
  </conditionalFormatting>
  <conditionalFormatting sqref="Z237">
    <cfRule type="expression" dxfId="37" priority="2206">
      <formula>$I$2&lt;&gt;1</formula>
    </cfRule>
    <cfRule type="expression" dxfId="36" priority="2207">
      <formula>$Z$237&lt;&gt;$U$43</formula>
    </cfRule>
  </conditionalFormatting>
  <conditionalFormatting sqref="W110:Z111 W112:AA112 W113:Z114">
    <cfRule type="expression" dxfId="35" priority="1971">
      <formula>OR($Z$110&lt;&gt;$U$34, $I$11&lt;&gt;0)</formula>
    </cfRule>
  </conditionalFormatting>
  <conditionalFormatting sqref="Z333">
    <cfRule type="expression" dxfId="34" priority="2209">
      <formula>$Z$333&lt;=#REF!/2+#REF!</formula>
    </cfRule>
  </conditionalFormatting>
  <conditionalFormatting sqref="I6:I7">
    <cfRule type="expression" dxfId="33" priority="2210">
      <formula>IF($I$2=1, OR($I$6&lt;=$C$15/2, $I$6&gt;=$C$15), $I$6&lt;&gt;"")</formula>
    </cfRule>
  </conditionalFormatting>
  <conditionalFormatting sqref="I7">
    <cfRule type="expression" dxfId="32" priority="2211">
      <formula>IF($I$2=1, $I$7&gt;=$C$16, $I$7&lt;&gt;"")</formula>
    </cfRule>
  </conditionalFormatting>
  <conditionalFormatting sqref="I18">
    <cfRule type="expression" dxfId="31" priority="2212">
      <formula>IF($I$11=1,OR($I$18&lt;=0, $I$18&gt;=$C$10/4),$I$18&lt;&gt;"")</formula>
    </cfRule>
  </conditionalFormatting>
  <conditionalFormatting sqref="I30">
    <cfRule type="expression" dxfId="30" priority="2213">
      <formula>OR($I$30&lt;=0, $I$30&gt;$C$10/4)</formula>
    </cfRule>
  </conditionalFormatting>
  <conditionalFormatting sqref="I31">
    <cfRule type="expression" dxfId="29" priority="2214">
      <formula>OR($I$31&lt;=0, $I$31+$I$30&gt;$C10/4)</formula>
    </cfRule>
  </conditionalFormatting>
  <conditionalFormatting sqref="I41">
    <cfRule type="expression" dxfId="28" priority="2215">
      <formula>OR(ISBLANK($I$41), AND($I$41&lt;&gt;1, $I$41&lt;&gt;2), AND($C$75&lt;&gt;0, $I$41=1))</formula>
    </cfRule>
  </conditionalFormatting>
  <conditionalFormatting sqref="I46">
    <cfRule type="expression" dxfId="27" priority="2216">
      <formula>OR(ISBLANK($I$46), AND($I$46&lt;&gt;1, $I$46&lt;&gt;2), AND($C$82&lt;&gt;0, $I$46=1))</formula>
    </cfRule>
  </conditionalFormatting>
  <conditionalFormatting sqref="I51">
    <cfRule type="expression" dxfId="26" priority="2217">
      <formula>OR(ISBLANK($I$51), AND($I$51&lt;&gt;1, $I$51&lt;&gt;2), AND($C$89&lt;&gt;0, $I$51=1))</formula>
    </cfRule>
  </conditionalFormatting>
  <conditionalFormatting sqref="I52">
    <cfRule type="expression" dxfId="25" priority="2218">
      <formula>OR($I$52&lt;=0, $I$52&gt;=$C$10/4)</formula>
    </cfRule>
  </conditionalFormatting>
  <conditionalFormatting sqref="I56">
    <cfRule type="expression" dxfId="24" priority="2219">
      <formula>OR(ISBLANK($I$56), AND($I$56&lt;&gt;1, $I$56&lt;&gt;2), AND($C$96&lt;&gt;0, $I$56&lt;&gt;0))</formula>
    </cfRule>
  </conditionalFormatting>
  <conditionalFormatting sqref="I57">
    <cfRule type="expression" dxfId="23" priority="2220">
      <formula>OR($I$57&lt;=0, $I$57&gt;=$C10/4)</formula>
    </cfRule>
  </conditionalFormatting>
  <conditionalFormatting sqref="O16">
    <cfRule type="expression" dxfId="22" priority="2221">
      <formula>$O$16&gt;=$C$15/2-$C$17</formula>
    </cfRule>
  </conditionalFormatting>
  <conditionalFormatting sqref="O17">
    <cfRule type="expression" dxfId="21" priority="2222">
      <formula>$O$16+$O$17&gt;=$C$15/2</formula>
    </cfRule>
  </conditionalFormatting>
  <conditionalFormatting sqref="I28">
    <cfRule type="expression" dxfId="20" priority="2227">
      <formula>IF($I$26&lt;&gt;4,OR($I$28&gt;=$C$15, AND($I$11=1, $I$28&gt;=$I$16),$I$28&lt;=$C$15/2),$I$28&lt;&gt;"")</formula>
    </cfRule>
  </conditionalFormatting>
  <conditionalFormatting sqref="I16:I17">
    <cfRule type="expression" dxfId="19" priority="2228">
      <formula>OR($I$16&lt;=$C$15/2, $I$16&gt;=$C$15, $I$16&lt;=$I$28)</formula>
    </cfRule>
  </conditionalFormatting>
  <conditionalFormatting sqref="I17">
    <cfRule type="expression" dxfId="18" priority="2229">
      <formula>IF($I$11=1,OR($I$17&lt;=$I$29, $I$17&gt;=$C$16),$I$17&lt;&gt;"")</formula>
    </cfRule>
  </conditionalFormatting>
  <conditionalFormatting sqref="W30:Z30">
    <cfRule type="expression" dxfId="17" priority="2230">
      <formula>OR(AND($I$2&lt;&gt;1, $I$41&lt;&gt;1, $C$75&lt;&gt;1), $I$22=2)</formula>
    </cfRule>
  </conditionalFormatting>
  <conditionalFormatting sqref="I42">
    <cfRule type="expression" dxfId="16" priority="2231">
      <formula>OR($I$42&lt;=0, $I$42&gt;=$Z$4/4)</formula>
    </cfRule>
  </conditionalFormatting>
  <conditionalFormatting sqref="I47">
    <cfRule type="expression" dxfId="15" priority="2232">
      <formula>OR($I$47&lt;=0, $I$47&gt;=$Z$5/4)</formula>
    </cfRule>
  </conditionalFormatting>
  <conditionalFormatting sqref="I5">
    <cfRule type="expression" dxfId="14" priority="2269">
      <formula>IF($I$2=1,OR($I$5&lt;=0, $I$5&gt;=($C$15-$AF$116)/2), $I$5&lt;&gt;"")</formula>
    </cfRule>
  </conditionalFormatting>
  <conditionalFormatting sqref="I15">
    <cfRule type="expression" dxfId="13" priority="2270">
      <formula>IF($I$11=1,OR($I$15&lt;=0, $I$15&gt;=($C$15-$AF$113)/2),$I$15&lt;&gt;"")</formula>
    </cfRule>
  </conditionalFormatting>
  <conditionalFormatting sqref="I32">
    <cfRule type="expression" dxfId="12" priority="2271">
      <formula>IF($I$27=1,OR(ISBLANK($I$32), $I$32&lt;=0, $I$32&gt;=($C$15-$AF$176)/2),$I$32&lt;&gt;"")</formula>
    </cfRule>
  </conditionalFormatting>
  <conditionalFormatting sqref="O18">
    <cfRule type="expression" dxfId="11" priority="2272">
      <formula>$O$18&gt;=($C$16-$AF$114)/2</formula>
    </cfRule>
  </conditionalFormatting>
  <conditionalFormatting sqref="C2">
    <cfRule type="expression" dxfId="10" priority="12">
      <formula>OR(ISBLANK($C$2), $C$2&lt;=0, $C$2&gt;=10000)</formula>
    </cfRule>
  </conditionalFormatting>
  <conditionalFormatting sqref="C6">
    <cfRule type="expression" dxfId="9" priority="11">
      <formula>OR(ISBLANK($C$6), AND($C$6&lt;&gt;0, $C$6&lt;&gt;1))</formula>
    </cfRule>
  </conditionalFormatting>
  <conditionalFormatting sqref="C7">
    <cfRule type="expression" dxfId="8" priority="10">
      <formula>OR(ISBLANK($C$7), AND($C$7&lt;&gt;0, $C$7&lt;&gt;1))</formula>
    </cfRule>
  </conditionalFormatting>
  <conditionalFormatting sqref="C9">
    <cfRule type="expression" dxfId="7" priority="9">
      <formula>OR(ISBLANK($C$9), $C$9&lt;=($U$3*2))</formula>
    </cfRule>
  </conditionalFormatting>
  <conditionalFormatting sqref="C11">
    <cfRule type="expression" dxfId="6" priority="8">
      <formula>OR(ISBLANK($C$11), AND($C$11&lt;&gt;0, $C$11&lt;&gt;1))</formula>
    </cfRule>
  </conditionalFormatting>
  <conditionalFormatting sqref="C20">
    <cfRule type="expression" dxfId="5" priority="6">
      <formula>OR(ISBLANK($C$20), $C$20&lt;0, $C$20&gt;2)</formula>
    </cfRule>
  </conditionalFormatting>
  <conditionalFormatting sqref="I33">
    <cfRule type="expression" dxfId="4" priority="48">
      <formula>OR(ISBLANK($I$33), $I$33&lt;=0)</formula>
    </cfRule>
  </conditionalFormatting>
  <conditionalFormatting sqref="I34">
    <cfRule type="expression" dxfId="3" priority="4">
      <formula>OR(ISBLANK($I$34), $I$34&lt;=0)</formula>
    </cfRule>
  </conditionalFormatting>
  <conditionalFormatting sqref="I35">
    <cfRule type="expression" dxfId="2" priority="3">
      <formula>OR(ISBLANK($I$35), $I$35&lt;=0)</formula>
    </cfRule>
  </conditionalFormatting>
  <conditionalFormatting sqref="I36">
    <cfRule type="expression" dxfId="1" priority="2">
      <formula>OR(ISBLANK($I$36), $I$36&lt;=0)</formula>
    </cfRule>
  </conditionalFormatting>
  <conditionalFormatting sqref="I29">
    <cfRule type="expression" dxfId="0" priority="1">
      <formula>OR(ISBLANK($I$29), $I$29&gt;=$C$16, AND($I$11=1, $I$29&gt;=$I$17),$I$28&lt;=$C$15/2)</formula>
    </cfRule>
  </conditionalFormatting>
  <dataValidations count="23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P2:Q10 C60:E60 J40:K43 D10:E23 J45:K48 D74:E76 I45 C76 J50:K53 D81:E83 I50 C83 J55:K58 D88:E90 I55 C90 P15:Q20 D95:E98 P22:Q26 C105:E105 O26 V2:V13 U2:U12 C111:E111 V15:V30 U15 C124:E124 V32:V53 C141:E141 C164:E1048576 U32 D2:E8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9:O10 O3:O7 C15:C17 O16:O20 O23:O25 I5:I9 C8" xr:uid="{A19F090C-92D9-404D-8DD9-E6C35385216D}">
      <formula1>0</formula1>
    </dataValidation>
    <dataValidation type="whole" imeMode="disabled" allowBlank="1" showInputMessage="1" showErrorMessage="1" sqref="I22 I41 I46 I51 I56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36</formula1>
      <formula2>40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2024-10-03T07:15:26Z</dcterms:modified>
</cp:coreProperties>
</file>