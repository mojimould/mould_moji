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78BE08DF-BC69-4FDA-A2F3-60767ED1F00D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1" i="75"/>
  <c r="P62" i="75" s="1"/>
  <c r="J221" i="75"/>
  <c r="J193" i="75"/>
  <c r="J87" i="75"/>
  <c r="P64" i="75"/>
  <c r="P70" i="75" s="1"/>
  <c r="P110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6" i="75"/>
  <c r="J184" i="75"/>
  <c r="M195" i="75"/>
  <c r="J183" i="75"/>
  <c r="M194" i="75"/>
  <c r="J181" i="75"/>
  <c r="M193" i="75"/>
  <c r="J180" i="75"/>
  <c r="M192" i="75"/>
  <c r="M191" i="75"/>
  <c r="M190" i="75"/>
  <c r="M189" i="75"/>
  <c r="M188" i="75"/>
  <c r="M187" i="75"/>
  <c r="M186" i="75"/>
  <c r="M185" i="75"/>
  <c r="J163" i="75"/>
  <c r="M184" i="75"/>
  <c r="J162" i="75"/>
  <c r="M183" i="75"/>
  <c r="J161" i="75"/>
  <c r="M182" i="75"/>
  <c r="J160" i="75"/>
  <c r="O181" i="75"/>
  <c r="M181" i="75"/>
  <c r="J159" i="75"/>
  <c r="O180" i="75"/>
  <c r="M180" i="75"/>
  <c r="J158" i="75"/>
  <c r="O179" i="75"/>
  <c r="M179" i="75"/>
  <c r="J157" i="75"/>
  <c r="O178" i="75"/>
  <c r="M178" i="75"/>
  <c r="O177" i="75"/>
  <c r="M177" i="75"/>
  <c r="O176" i="75"/>
  <c r="M176" i="75"/>
  <c r="M175" i="75"/>
  <c r="M174" i="75"/>
  <c r="O173" i="75"/>
  <c r="M173" i="75"/>
  <c r="J151" i="75"/>
  <c r="O172" i="75"/>
  <c r="M172" i="75"/>
  <c r="O171" i="75"/>
  <c r="M171" i="75"/>
  <c r="O170" i="75"/>
  <c r="M170" i="75"/>
  <c r="O169" i="75"/>
  <c r="M169" i="75"/>
  <c r="M168" i="75"/>
  <c r="M167" i="75"/>
  <c r="J145" i="75"/>
  <c r="O166" i="75"/>
  <c r="M166" i="75"/>
  <c r="J144" i="75"/>
  <c r="O165" i="75"/>
  <c r="M165" i="75"/>
  <c r="O164" i="75"/>
  <c r="M164" i="75"/>
  <c r="O163" i="75"/>
  <c r="M163" i="75"/>
  <c r="O162" i="75"/>
  <c r="M162" i="75"/>
  <c r="O161" i="75"/>
  <c r="M161" i="75"/>
  <c r="J139" i="75"/>
  <c r="M160" i="75"/>
  <c r="M159" i="75"/>
  <c r="J137" i="75"/>
  <c r="O158" i="75"/>
  <c r="M158" i="75"/>
  <c r="O157" i="75"/>
  <c r="M157" i="75"/>
  <c r="O156" i="75"/>
  <c r="M156" i="75"/>
  <c r="J134" i="75" a="1"/>
  <c r="J134" i="75" s="1"/>
  <c r="O155" i="75"/>
  <c r="M155" i="75"/>
  <c r="O154" i="75"/>
  <c r="M154" i="75"/>
  <c r="O153" i="75"/>
  <c r="M153" i="75"/>
  <c r="M152" i="75"/>
  <c r="M151" i="75"/>
  <c r="J129" i="75"/>
  <c r="P150" i="75"/>
  <c r="M150" i="75"/>
  <c r="J128" i="75"/>
  <c r="P149" i="75"/>
  <c r="M149" i="75"/>
  <c r="J127" i="75"/>
  <c r="M148" i="75"/>
  <c r="J126" i="75"/>
  <c r="M147" i="75"/>
  <c r="J125" i="75"/>
  <c r="M146" i="75"/>
  <c r="J124" i="75"/>
  <c r="M145" i="75"/>
  <c r="J123" i="75"/>
  <c r="M144" i="75"/>
  <c r="J122" i="75"/>
  <c r="M143" i="75"/>
  <c r="M142" i="75"/>
  <c r="M141" i="75"/>
  <c r="J119" i="75"/>
  <c r="M140" i="75"/>
  <c r="J118" i="75"/>
  <c r="M139" i="75"/>
  <c r="M138" i="75"/>
  <c r="M137" i="75"/>
  <c r="M136" i="75"/>
  <c r="M135" i="75"/>
  <c r="M134" i="75"/>
  <c r="M133" i="75"/>
  <c r="M132" i="75"/>
  <c r="J110" i="75"/>
  <c r="O131" i="75"/>
  <c r="M131" i="75"/>
  <c r="O130" i="75"/>
  <c r="M130" i="75"/>
  <c r="O129" i="75"/>
  <c r="M129" i="75"/>
  <c r="O128" i="75"/>
  <c r="M128" i="75"/>
  <c r="O127" i="75"/>
  <c r="M127" i="75"/>
  <c r="O126" i="75"/>
  <c r="M126" i="75"/>
  <c r="M125" i="75"/>
  <c r="M124" i="75"/>
  <c r="O123" i="75"/>
  <c r="M123" i="75"/>
  <c r="O122" i="75"/>
  <c r="M122" i="75"/>
  <c r="J100" i="75"/>
  <c r="O121" i="75"/>
  <c r="M121" i="75"/>
  <c r="O120" i="75"/>
  <c r="M120" i="75"/>
  <c r="O119" i="75"/>
  <c r="M119" i="75"/>
  <c r="O118" i="75"/>
  <c r="M118" i="75"/>
  <c r="M117" i="75"/>
  <c r="J95" i="75"/>
  <c r="M116" i="75"/>
  <c r="M115" i="75"/>
  <c r="M114" i="75"/>
  <c r="J92" i="75"/>
  <c r="M113" i="75"/>
  <c r="M112" i="75"/>
  <c r="M111" i="75"/>
  <c r="J89" i="75"/>
  <c r="M110" i="75"/>
  <c r="J88" i="75"/>
  <c r="O109" i="75"/>
  <c r="M109" i="75"/>
  <c r="O108" i="75"/>
  <c r="M108" i="75"/>
  <c r="O107" i="75"/>
  <c r="M107" i="75"/>
  <c r="O106" i="75"/>
  <c r="M106" i="75"/>
  <c r="J84" i="75"/>
  <c r="O105" i="75"/>
  <c r="M105" i="75"/>
  <c r="O104" i="75"/>
  <c r="M104" i="75"/>
  <c r="M103" i="75"/>
  <c r="M102" i="75"/>
  <c r="O101" i="75"/>
  <c r="M101" i="75"/>
  <c r="J79" i="75"/>
  <c r="O100" i="75"/>
  <c r="M100" i="75"/>
  <c r="O99" i="75"/>
  <c r="M99" i="75"/>
  <c r="O98" i="75"/>
  <c r="M98" i="75"/>
  <c r="J76" i="75"/>
  <c r="O97" i="75"/>
  <c r="M97" i="75"/>
  <c r="O96" i="75"/>
  <c r="M96" i="75"/>
  <c r="J74" i="75"/>
  <c r="M95" i="75"/>
  <c r="M94" i="75"/>
  <c r="O93" i="75"/>
  <c r="M93" i="75"/>
  <c r="J71" i="75"/>
  <c r="O92" i="75"/>
  <c r="M92" i="75"/>
  <c r="J70" i="75" a="1"/>
  <c r="J70" i="75" s="1"/>
  <c r="O91" i="75"/>
  <c r="M91" i="75"/>
  <c r="O90" i="75"/>
  <c r="M90" i="75"/>
  <c r="O89" i="75"/>
  <c r="M89" i="75"/>
  <c r="O88" i="75"/>
  <c r="M88" i="75"/>
  <c r="M87" i="75"/>
  <c r="M86" i="75"/>
  <c r="O85" i="75"/>
  <c r="M85" i="75"/>
  <c r="J63" i="75" a="1"/>
  <c r="J63" i="75" s="1"/>
  <c r="O84" i="75"/>
  <c r="M84" i="75"/>
  <c r="O83" i="75"/>
  <c r="M83" i="75"/>
  <c r="O82" i="75"/>
  <c r="M82" i="75"/>
  <c r="O81" i="75"/>
  <c r="M81" i="75"/>
  <c r="O80" i="75"/>
  <c r="M80" i="75"/>
  <c r="J58" i="75"/>
  <c r="M79" i="75"/>
  <c r="M78" i="75"/>
  <c r="O77" i="75"/>
  <c r="M77" i="75"/>
  <c r="J55" i="75"/>
  <c r="O76" i="75"/>
  <c r="M76" i="75"/>
  <c r="O75" i="75"/>
  <c r="M75" i="75"/>
  <c r="O74" i="75"/>
  <c r="M74" i="75"/>
  <c r="J52" i="75"/>
  <c r="O73" i="75"/>
  <c r="M73" i="75"/>
  <c r="J51" i="75"/>
  <c r="O72" i="75"/>
  <c r="M72" i="75"/>
  <c r="M71" i="75"/>
  <c r="M70" i="75"/>
  <c r="O69" i="75"/>
  <c r="M69" i="75"/>
  <c r="J47" i="75"/>
  <c r="O68" i="75"/>
  <c r="M68" i="75"/>
  <c r="O67" i="75"/>
  <c r="M67" i="75"/>
  <c r="O66" i="75"/>
  <c r="M66" i="75"/>
  <c r="O65" i="75"/>
  <c r="M65" i="75"/>
  <c r="O64" i="75"/>
  <c r="M64" i="75"/>
  <c r="J42" i="75"/>
  <c r="M63" i="75"/>
  <c r="M62" i="75"/>
  <c r="M61" i="75"/>
  <c r="J39" i="75"/>
  <c r="M60" i="75"/>
  <c r="J38" i="75"/>
  <c r="M59" i="75"/>
  <c r="J37" i="75" a="1"/>
  <c r="J37" i="75" s="1"/>
  <c r="M58" i="75"/>
  <c r="M57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7" i="75"/>
  <c r="P158" i="75" s="1"/>
  <c r="P76" i="75"/>
  <c r="P123" i="75"/>
  <c r="P84" i="75" a="1"/>
  <c r="P157" i="75"/>
  <c r="P85" i="75" a="1"/>
  <c r="J48" i="75"/>
  <c r="P116" i="75"/>
  <c r="P115" i="75"/>
  <c r="P117" i="75"/>
  <c r="J205" i="75" l="1"/>
  <c r="J204" i="75"/>
  <c r="J266" i="75"/>
  <c r="J265" i="75"/>
  <c r="P36" i="75"/>
  <c r="P33" i="75"/>
  <c r="P37" i="75" s="1"/>
  <c r="P35" i="75"/>
  <c r="K5" i="75"/>
  <c r="P58" i="75"/>
  <c r="P59" i="75" s="1"/>
  <c r="J50" i="75"/>
  <c r="K50" i="75" s="1"/>
  <c r="J35" i="75"/>
  <c r="J268" i="75"/>
  <c r="J279" i="75"/>
  <c r="P34" i="75"/>
  <c r="P68" i="75"/>
  <c r="P108" i="75" s="1"/>
  <c r="J315" i="75" s="1"/>
  <c r="P69" i="75"/>
  <c r="P109" i="75" s="1"/>
  <c r="J316" i="75" s="1"/>
  <c r="P84" i="75"/>
  <c r="P92" i="75"/>
  <c r="P85" i="75"/>
  <c r="P93" i="75"/>
  <c r="P66" i="75"/>
  <c r="P106" i="75" s="1"/>
  <c r="J313" i="75" s="1"/>
  <c r="J317" i="75"/>
  <c r="P192" i="75"/>
  <c r="P65" i="75"/>
  <c r="P105" i="75" s="1"/>
  <c r="J312" i="75" s="1"/>
  <c r="P14" i="75"/>
  <c r="P63" i="75"/>
  <c r="P71" i="75"/>
  <c r="P111" i="75" s="1"/>
  <c r="J318" i="75" s="1"/>
  <c r="P104" i="75"/>
  <c r="J311" i="75" s="1"/>
  <c r="P67" i="75"/>
  <c r="P107" i="75" s="1"/>
  <c r="J314" i="75" s="1"/>
  <c r="P50" i="75"/>
  <c r="P186" i="75"/>
  <c r="P187" i="75" s="1"/>
  <c r="P189" i="75" s="1"/>
  <c r="P166" i="75"/>
  <c r="P131" i="75"/>
  <c r="P122" i="75"/>
  <c r="P165" i="75"/>
  <c r="P130" i="75"/>
  <c r="P73" i="75"/>
  <c r="P72" i="75"/>
  <c r="P114" i="75"/>
  <c r="P79" i="75"/>
  <c r="P78" i="75"/>
  <c r="P74" i="75"/>
  <c r="P113" i="75"/>
  <c r="P175" i="75"/>
  <c r="P112" i="75"/>
  <c r="P75" i="75"/>
  <c r="J66" i="75" l="1"/>
  <c r="P60" i="75"/>
  <c r="P191" i="75"/>
  <c r="P101" i="75"/>
  <c r="P181" i="75" s="1"/>
  <c r="P100" i="75"/>
  <c r="P172" i="75" s="1"/>
  <c r="P13" i="75"/>
  <c r="P29" i="75" s="1"/>
  <c r="P190" i="75"/>
  <c r="P193" i="75"/>
  <c r="P195" i="75" s="1"/>
  <c r="S2" i="75" s="1"/>
  <c r="S3" i="75" s="1"/>
  <c r="P188" i="75"/>
  <c r="J327" i="75"/>
  <c r="J85" i="75"/>
  <c r="J282" i="75"/>
  <c r="J232" i="75"/>
  <c r="J33" i="75"/>
  <c r="P94" i="75"/>
  <c r="P95" i="75"/>
  <c r="P91" i="75"/>
  <c r="P88" i="75"/>
  <c r="J93" i="75"/>
  <c r="P90" i="75"/>
  <c r="J56" i="75"/>
  <c r="J141" i="75"/>
  <c r="J224" i="75"/>
  <c r="P89" i="75"/>
  <c r="P38" i="75"/>
  <c r="P80" i="75" a="1"/>
  <c r="P155" i="75"/>
  <c r="P120" i="75"/>
  <c r="P156" i="75"/>
  <c r="P83" i="75" a="1"/>
  <c r="P159" i="75"/>
  <c r="P160" i="75"/>
  <c r="P154" i="75"/>
  <c r="P82" i="75" a="1"/>
  <c r="P81" i="75" a="1"/>
  <c r="P119" i="75"/>
  <c r="P87" i="75" a="1"/>
  <c r="P86" i="75" a="1"/>
  <c r="P124" i="75"/>
  <c r="P153" i="75"/>
  <c r="P121" i="75"/>
  <c r="P118" i="75"/>
  <c r="P125" i="75"/>
  <c r="P82" i="75" l="1"/>
  <c r="P98" i="75" s="1"/>
  <c r="P83" i="75"/>
  <c r="P99" i="75" s="1"/>
  <c r="P10" i="75"/>
  <c r="P11" i="75" s="1"/>
  <c r="P12" i="75" s="1"/>
  <c r="S6" i="75"/>
  <c r="P30" i="75"/>
  <c r="P5" i="75" s="1"/>
  <c r="P6" i="75" s="1"/>
  <c r="J13" i="75" s="1"/>
  <c r="J14" i="75" s="1"/>
  <c r="P81" i="75"/>
  <c r="P97" i="75" s="1"/>
  <c r="P80" i="75"/>
  <c r="P96" i="75" s="1"/>
  <c r="P180" i="75"/>
  <c r="P173" i="75"/>
  <c r="P86" i="75"/>
  <c r="P102" i="75" s="1"/>
  <c r="P87" i="75"/>
  <c r="P103" i="75" s="1"/>
  <c r="P194" i="75"/>
  <c r="S4" i="75"/>
  <c r="T2" i="75"/>
  <c r="S23" i="75"/>
  <c r="P134" i="75"/>
  <c r="P137" i="75" s="1"/>
  <c r="P152" i="75"/>
  <c r="P151" i="75"/>
  <c r="P126" i="75"/>
  <c r="P163" i="75"/>
  <c r="P129" i="75"/>
  <c r="P162" i="75"/>
  <c r="P127" i="75"/>
  <c r="P161" i="75"/>
  <c r="P164" i="75"/>
  <c r="P128" i="75"/>
  <c r="P178" i="75" l="1"/>
  <c r="P179" i="75"/>
  <c r="J214" i="75"/>
  <c r="K214" i="75" s="1"/>
  <c r="P177" i="75"/>
  <c r="P176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6" i="75"/>
  <c r="P171" i="75"/>
  <c r="J333" i="75"/>
  <c r="P169" i="75"/>
  <c r="J328" i="75"/>
  <c r="J334" i="75"/>
  <c r="T3" i="75"/>
  <c r="S5" i="75"/>
  <c r="P170" i="75"/>
  <c r="P132" i="75"/>
  <c r="P133" i="75"/>
  <c r="P168" i="75"/>
  <c r="P167" i="75"/>
  <c r="J335" i="75" l="1"/>
  <c r="P174" i="75"/>
  <c r="P182" i="75"/>
  <c r="J329" i="75"/>
  <c r="P144" i="75" s="1"/>
  <c r="P145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5" i="75"/>
  <c r="P143" i="75"/>
  <c r="P146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7" i="75"/>
  <c r="P148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6" i="75"/>
  <c r="P138" i="75" s="1"/>
  <c r="P139" i="75" s="1"/>
  <c r="J131" i="75" s="1"/>
  <c r="S25" i="75"/>
  <c r="S24" i="75"/>
  <c r="K242" i="75" l="1"/>
  <c r="K17" i="75"/>
  <c r="J23" i="75"/>
  <c r="K21" i="75"/>
  <c r="K18" i="75"/>
  <c r="P140" i="75"/>
  <c r="J330" i="75"/>
  <c r="K330" i="75" s="1"/>
  <c r="K19" i="75" l="1"/>
  <c r="J19" i="75"/>
  <c r="K23" i="75"/>
  <c r="P142" i="75"/>
  <c r="P141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P46" i="75" s="1"/>
  <c r="P45" i="75" s="1"/>
  <c r="J152" i="75"/>
  <c r="J178" i="75"/>
  <c r="J154" i="75"/>
  <c r="J73" i="75"/>
  <c r="J105" i="75"/>
  <c r="J114" i="75"/>
  <c r="P52" i="75" l="1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<sst xmlns="http://schemas.openxmlformats.org/spreadsheetml/2006/main" count="1342" uniqueCount="660">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</sst>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9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95249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7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$J$4+P195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20240801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P190-P191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-C115+(P32+P33)/2+#REF!/2-P194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-C115+P31+#REF!/2-P194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C115-(P35+P36)/2-#REF!/2+P194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C115-P34-#REF!/2+P194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C115-(P35+P36)/2-#REF!/2+P194-#REF!/2-$P$20+$P$18/2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-C115+(P32+P33)/2+#REF!/2-P194+#REF!/2+$P$24-$P$22/2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P46-C115+#REF!/2-P194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$J$17-$P$60-$P$115/2-$C$19-$P$20+$P$18/2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P47-$J$106-$J$186/2+P196-P29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$J$21+$P$63+$P$112/2+$C$19+$P$24-$P$22/2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DEGREES($P$88)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S9*$P$135+S2*$P$96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-S$9*$P$96+S$2*$P$135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$P$115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86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86"/>
      <c r="G56" s="3" t="s">
        <v>78</v>
      </c>
      <c r="H56" s="9" t="s">
        <v>435</v>
      </c>
      <c r="I56" s="11" t="s">
        <v>78</v>
      </c>
      <c r="J56" s="27" t="e">
        <f ca="1">$P$116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639</v>
      </c>
      <c r="O58" s="45" t="s">
        <v>279</v>
      </c>
      <c r="P58" s="2">
        <f>$J$5-$C$78</f>
        <v>0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640</v>
      </c>
      <c r="O59" s="45" t="s">
        <v>280</v>
      </c>
      <c r="P59" s="2">
        <f>SQRT($C$7^2-$P$58^2)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641</v>
      </c>
      <c r="P60" s="2">
        <f>P59-P34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642</v>
      </c>
      <c r="O61" s="45" t="s">
        <v>555</v>
      </c>
      <c r="P61" s="2">
        <f>$J$4-$C$92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643</v>
      </c>
      <c r="O62" s="45" t="s">
        <v>556</v>
      </c>
      <c r="P62" s="2">
        <f>SQRT($C$7^2-$P$61^2)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644</v>
      </c>
      <c r="P63" s="2">
        <f>P62-P31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112</v>
      </c>
      <c r="O64" s="45" t="str">
        <f>IF($C$66&gt;=3, "振分中心-ディンプル1列目間距離", "-")</f>
        <v>-</v>
      </c>
      <c r="P64" s="36">
        <f>$J$4-$C$61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140</v>
      </c>
      <c r="O65" s="45" t="str">
        <f>IF($C$66&gt;=4, "振分中心-ディンプル2列目間距離", "-")</f>
        <v>-</v>
      </c>
      <c r="P65" s="36" t="str">
        <f>IF($C$66&gt;=4,$P$64-1*$C$62, "-")</f>
        <v>-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$P$112</f>
        <v>#REF!</v>
      </c>
      <c r="L66" s="3"/>
      <c r="M66" s="3">
        <f t="shared" si="0"/>
        <v>66</v>
      </c>
      <c r="N66" s="37" t="s">
        <v>141</v>
      </c>
      <c r="O66" s="45" t="str">
        <f>IF($C$66&gt;=5, "振分中心-ディンプル3列目間距離", "-")</f>
        <v>-</v>
      </c>
      <c r="P66" s="36" t="str">
        <f>IF($C$66&gt;=5,$P$64-2*$C$62,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142</v>
      </c>
      <c r="O67" s="45" t="str">
        <f>IF($C$66&gt;=6, "振分中心-ディンプル4列目間距離", "-")</f>
        <v>-</v>
      </c>
      <c r="P67" s="36" t="str">
        <f>IF($C$66&gt;=6,$P$64-3*$C$62,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144</v>
      </c>
      <c r="O68" s="45" t="str">
        <f>IF($C$66&gt;=7, "振分中心-ディンプル5列目間距離", "-")</f>
        <v>-</v>
      </c>
      <c r="P68" s="36" t="str">
        <f>IF($C$66&gt;=7,$P$64-4*$C$62,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143</v>
      </c>
      <c r="O69" s="45" t="str">
        <f>IF($C$66&gt;=8, "振分中心-ディンプル6列目間距離", "-")</f>
        <v>-</v>
      </c>
      <c r="P69" s="36" t="str">
        <f>IF($C$66&gt;=8,$P$64-5*$C$62,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116</v>
      </c>
      <c r="O70" s="45" t="s">
        <v>396</v>
      </c>
      <c r="P70" s="36">
        <f>$P$64-($C$66-2)*$C$62</f>
        <v>0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115</v>
      </c>
      <c r="O71" s="45" t="s">
        <v>397</v>
      </c>
      <c r="P71" s="36">
        <f>$P$64-($C$66-1)*$C$62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113</v>
      </c>
      <c r="O72" s="45" t="str">
        <f>IF($C$66&gt;=3,"λj ≦ q &lt; λj+1 の λj", "-")</f>
        <v>-</v>
      </c>
      <c r="P72" s="36" t="str">
        <f ca="1">IF($C$66&gt;=3,LOOKUP($C$61,INDIRECT($P$2&amp;"!$A:$A")),"-")</f>
        <v>-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145</v>
      </c>
      <c r="O73" s="45" t="str">
        <f>IF($C$66&gt;=4,"λj ≦ q+pz &lt; λj+1 の λj", "-")</f>
        <v>-</v>
      </c>
      <c r="P73" s="36" t="str">
        <f ca="1">IF($C$66&gt;=4,LOOKUP($C$61+$C$62, 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147</v>
      </c>
      <c r="O74" s="45" t="str">
        <f>IF($C$66&gt;=5,"λj ≦ q+2pz &lt; λj+1 の λj", "-")</f>
        <v>-</v>
      </c>
      <c r="P74" s="36" t="str">
        <f ca="1">IF($C$66&gt;=5,LOOKUP($C$61+2*$C$62,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149</v>
      </c>
      <c r="O75" s="45" t="str">
        <f>IF($C$66&gt;=6,"λj ≦ q+3pz &lt; λj+1 の λj", "-")</f>
        <v>-</v>
      </c>
      <c r="P75" s="36" t="str">
        <f ca="1">IF($C$66&gt;=6,LOOKUP($C$61+3*$C$62,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150</v>
      </c>
      <c r="O76" s="45" t="str">
        <f>IF($C$66&gt;=7,"λj ≦ q+4pz &lt; λj+1 の λj", "-")</f>
        <v>-</v>
      </c>
      <c r="P76" s="36" t="str">
        <f ca="1">IF($C$66&gt;=7,LOOKUP($C$61+4*$C$62,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151</v>
      </c>
      <c r="O77" s="45" t="str">
        <f>IF($C$66&gt;=8,"λj ≦ q+5pz &lt; λj+1 の λj", "-")</f>
        <v>-</v>
      </c>
      <c r="P77" s="36" t="str">
        <f ca="1">IF($C$66&gt;=8,LOOKUP($C$61+5*$C$62,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153</v>
      </c>
      <c r="O78" s="45" t="s">
        <v>155</v>
      </c>
      <c r="P78" s="2" t="e">
        <f ca="1">LOOKUP($C$61+($C$66-2)*$C$62, INDIRECT($P$2&amp;"!$A:$A"))</f>
        <v>#REF!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152</v>
      </c>
      <c r="O79" s="45" t="s">
        <v>154</v>
      </c>
      <c r="P79" s="2" t="e">
        <f ca="1">LOOKUP($C$61+($C$66-1)*$C$62,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114</v>
      </c>
      <c r="O80" s="45" t="str">
        <f>IF($C$66&gt;=3,"λj ≦ q &lt; λj+1 の λj+1", "-")</f>
        <v>-</v>
      </c>
      <c r="P80" s="2" t="str" cm="1">
        <f t="array" aca="1" ref="P80" ca="1">IF($C$66&gt;=3, INDEX(INDIRECT($P$2&amp;"!$A:$A"), MATCH($P72, INDIRECT($P$2&amp;"!$A:$A"), 0) +1),"-")</f>
        <v>-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146</v>
      </c>
      <c r="O81" s="45" t="str">
        <f>IF($C$66&gt;=4,"λj ≦ q+pz &lt; λj+1 の λj+1", "-")</f>
        <v>-</v>
      </c>
      <c r="P81" s="36" t="str" cm="1">
        <f t="array" aca="1" ref="P81" ca="1">IF($C$66&gt;=4,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148</v>
      </c>
      <c r="O82" s="45" t="str">
        <f>IF($C$66&gt;=5,"λj ≦ q+2pz &lt; λj+1 の λj+1", "-")</f>
        <v>-</v>
      </c>
      <c r="P82" s="36" t="str" cm="1">
        <f t="array" aca="1" ref="P82" ca="1">IF($C$66&gt;=5,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156</v>
      </c>
      <c r="O83" s="45" t="str">
        <f>IF($C$66&gt;=6,"λj ≦ q+3pz &lt; λj+1 の λj+1", "-")</f>
        <v>-</v>
      </c>
      <c r="P83" s="36" t="str" cm="1">
        <f t="array" aca="1" ref="P83" ca="1">IF($C$66&gt;=6,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157</v>
      </c>
      <c r="O84" s="45" t="str">
        <f>IF($C$66&gt;=7,"λj ≦ q+4pz &lt; λj+1 の λj+1", "-")</f>
        <v>-</v>
      </c>
      <c r="P84" s="36" t="str" cm="1">
        <f t="array" aca="1" ref="P84" ca="1">IF($C$66&gt;=7,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$P$112</f>
        <v>#REF!</v>
      </c>
      <c r="M85" s="3">
        <f t="shared" si="0"/>
        <v>85</v>
      </c>
      <c r="N85" s="37" t="s">
        <v>158</v>
      </c>
      <c r="O85" s="45" t="str">
        <f>IF($C$66&gt;=8,"λj ≦ q+5pz &lt; λj+1 の λj+1", "-")</f>
        <v>-</v>
      </c>
      <c r="P85" s="36" t="str" cm="1">
        <f t="array" aca="1" ref="P85" ca="1">IF($C$66&gt;=8,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159</v>
      </c>
      <c r="O86" s="45" t="s">
        <v>161</v>
      </c>
      <c r="P86" s="36" t="e" cm="1">
        <f t="array" aca="1" ref="P86" ca="1">INDEX(INDIRECT($P$2&amp;"!$A:$A"), MATCH($P78, INDIRECT($P$2&amp;"!$A:$A"), 0) +1)</f>
        <v>#REF!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160</v>
      </c>
      <c r="O87" s="45" t="s">
        <v>88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89</v>
      </c>
      <c r="O88" s="45" t="str">
        <f>IF($C$66&gt;=3,"q-λj","")</f>
        <v/>
      </c>
      <c r="P88" s="36" t="str">
        <f>IF($C$66&gt;=3,$C$61-$P$72, "-")</f>
        <v>-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164</v>
      </c>
      <c r="O89" s="45" t="str">
        <f>IF($C$66&gt;=4,"q+pz-λj","")</f>
        <v/>
      </c>
      <c r="P89" s="36" t="str">
        <f>IF($C$66&gt;=4,$C$61+$C$62-$P$73,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165</v>
      </c>
      <c r="O90" s="45" t="str">
        <f>IF($C$66&gt;=5,"q+2pz-λj","")</f>
        <v/>
      </c>
      <c r="P90" s="36" t="str">
        <f>IF($C$66&gt;=5,$C$61+2*$C$62-$P$74,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166</v>
      </c>
      <c r="O91" s="45" t="str">
        <f>IF($C$66&gt;=6,"q+3pz-λj","")</f>
        <v/>
      </c>
      <c r="P91" s="36" t="str">
        <f>IF($C$66&gt;=6,$C$61+3*$C$62-$P$75,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167</v>
      </c>
      <c r="O92" s="45" t="str">
        <f>IF($C$66&gt;=7,"q+4pz-λj","-")</f>
        <v>-</v>
      </c>
      <c r="P92" s="36" t="str">
        <f>IF($C$66&gt;=7,$C$61+4*$C$62-$P$76,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$P$113</f>
        <v>#REF!</v>
      </c>
      <c r="M93" s="3">
        <f t="shared" si="0"/>
        <v>93</v>
      </c>
      <c r="N93" s="37" t="s">
        <v>168</v>
      </c>
      <c r="O93" s="45" t="str">
        <f>IF($C$66&gt;=8,"q+5pz-λj","-")</f>
        <v>-</v>
      </c>
      <c r="P93" s="36" t="str">
        <f>IF($C$66&gt;=8,$C$61+5*$C$62-$P$77,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169</v>
      </c>
      <c r="O94" s="45" t="s">
        <v>169</v>
      </c>
      <c r="P94" s="36" t="e">
        <f ca="1">$C$61+($C$66-2)*$C$62-$P$78</f>
        <v>#REF!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91</v>
      </c>
      <c r="O95" s="45" t="s">
        <v>91</v>
      </c>
      <c r="P95" s="36" t="e">
        <f ca="1">$C$61+($C$66-1)*$C$62-$P$79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90</v>
      </c>
      <c r="O96" s="45" t="str">
        <f>IF($C$66&gt;=3, "λj+1-q", "-")</f>
        <v>-</v>
      </c>
      <c r="P96" s="36" t="str">
        <f>IF($C$66&gt;=3,$P$80-$C$61, "-")</f>
        <v>-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170</v>
      </c>
      <c r="O97" s="45" t="str">
        <f>IF($C$66&gt;=4, "λj+1-q-pz", "-")</f>
        <v>-</v>
      </c>
      <c r="P97" s="36" t="str">
        <f>IF($C$66&gt;=4,$P$81-$C$61-$C$62,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ref="M98:M195" si="2">ROW(M98)</f>
        <v>98</v>
      </c>
      <c r="N98" s="37" t="s">
        <v>171</v>
      </c>
      <c r="O98" s="45" t="str">
        <f>IF($C$66&gt;=5, "λj+1-q-2pz", "-")</f>
        <v>-</v>
      </c>
      <c r="P98" s="36" t="str">
        <f>IF($C$66&gt;=5,$P$82-$C$61-2*$C$62,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si="2"/>
        <v>99</v>
      </c>
      <c r="N99" s="37" t="s">
        <v>172</v>
      </c>
      <c r="O99" s="45" t="str">
        <f>IF($C$66&gt;=6, "λj+1-q-3pz", "-")</f>
        <v>-</v>
      </c>
      <c r="P99" s="36" t="str">
        <f>IF($C$66&gt;=6,$P$83-$C$61-3*$C$62,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173</v>
      </c>
      <c r="O100" s="45" t="str">
        <f>IF($C$66&gt;=7, "λj+1-q-4pz", "-")</f>
        <v>-</v>
      </c>
      <c r="P100" s="36" t="str">
        <f>IF($C$66&gt;=7,$P$84-$C$61-4*$C$62,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174</v>
      </c>
      <c r="O101" s="45" t="str">
        <f>IF($C$66&gt;=8, "λj+1-q-5pz", "-")</f>
        <v>-</v>
      </c>
      <c r="P101" s="36" t="str">
        <f>IF($C$66&gt;=8,$P$85-$C$61-5*$C$62,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175</v>
      </c>
      <c r="O102" s="45" t="s">
        <v>175</v>
      </c>
      <c r="P102" s="2" t="e">
        <f ca="1">$P$86-$C$61-($C$66-2)*$C$62</f>
        <v>#REF!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117</v>
      </c>
      <c r="O103" s="45" t="s">
        <v>117</v>
      </c>
      <c r="P103" s="2" t="e">
        <f ca="1">$P$87-$C$61-($C$66-1)*$C$62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176</v>
      </c>
      <c r="O104" s="45" t="str">
        <f>IF($C$66&gt;=3,"1列目湾曲中心X","-")</f>
        <v>-</v>
      </c>
      <c r="P104" s="38" t="str">
        <f>IF($C$66&gt;=3,SQRT($C$7^2-$P$64^2),"-")</f>
        <v>-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177</v>
      </c>
      <c r="O105" s="45" t="str">
        <f>IF($C$66&gt;=4,"2列目湾曲中心X","-")</f>
        <v>-</v>
      </c>
      <c r="P105" s="38" t="str">
        <f>IF($C$66&gt;=4,SQRT($C$7^2-$P$65^2),"-")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178</v>
      </c>
      <c r="O106" s="45" t="str">
        <f>IF($C$66&gt;=5,"3列目湾曲中心X","-")</f>
        <v>-</v>
      </c>
      <c r="P106" s="38" t="str">
        <f>IF($C$66&gt;=5,SQRT($C$7^2-$P$66^2),"-")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179</v>
      </c>
      <c r="O107" s="45" t="str">
        <f>IF($C$66&gt;=6,"4列目湾曲中心X","-")</f>
        <v>-</v>
      </c>
      <c r="P107" s="38" t="str">
        <f>IF($C$66&gt;=6,SQRT($C$7^2-$P$67^2),"-")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180</v>
      </c>
      <c r="O108" s="45" t="str">
        <f>IF($C$66&gt;=7,"5列目湾曲中心X","-")</f>
        <v>-</v>
      </c>
      <c r="P108" s="38" t="str">
        <f>IF($C$66&gt;=7,SQRT($C$7^2-$P$68^2),"-")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181</v>
      </c>
      <c r="O109" s="45" t="str">
        <f>IF($C$66&gt;=8,"6列目湾曲中心X","-")</f>
        <v>-</v>
      </c>
      <c r="P109" s="38" t="str">
        <f>IF($C$66&gt;=8,SQRT($C$7^2-$P$69^2),"-")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182</v>
      </c>
      <c r="O110" s="45" t="s">
        <v>184</v>
      </c>
      <c r="P110" s="39">
        <f>SQRT($C$7^2-$P$70^2)</f>
        <v>0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183</v>
      </c>
      <c r="O111" s="45" t="s">
        <v>185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132</v>
      </c>
      <c r="O112" s="46" t="s">
        <v>326</v>
      </c>
      <c r="P112" s="36" t="e">
        <f ca="1">INDEX(INDIRECT($P$2&amp;"!B:B"), MATCH(0, INDIRECT($P$2&amp;"!A:A"), 0))</f>
        <v>#REF!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>ROW(M113)</f>
        <v>113</v>
      </c>
      <c r="N113" s="37" t="s">
        <v>500</v>
      </c>
      <c r="O113" s="46" t="s">
        <v>501</v>
      </c>
      <c r="P113" s="36" t="e">
        <f ca="1">INDEX(INDIRECT($P$2&amp;"!C:C"),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 t="shared" si="2"/>
        <v>114</v>
      </c>
      <c r="O114" s="46" t="s">
        <v>524</v>
      </c>
      <c r="P114" s="36" t="e">
        <f ca="1">INDEX(INDIRECT($P$2&amp;"!D:D"),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N115" s="37" t="s">
        <v>325</v>
      </c>
      <c r="O115" s="46" t="s">
        <v>327</v>
      </c>
      <c r="P115" s="2" t="e">
        <f ca="1">INDEX(INDIRECT($P$2&amp;"!B:B"), MATCH(ROUND($J$4+$J$5, 0),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502</v>
      </c>
      <c r="O116" s="46" t="s">
        <v>503</v>
      </c>
      <c r="P116" s="2" t="e">
        <f ca="1">INDEX(INDIRECT($P$2&amp;"!C:C"),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O117" s="46" t="s">
        <v>525</v>
      </c>
      <c r="P117" s="2" t="e">
        <f ca="1">INDEX(INDIRECT($P$2&amp;"!D:D"),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N118" s="37" t="s">
        <v>186</v>
      </c>
      <c r="O118" s="45" t="str">
        <f>IF($C$66&gt;=3,"λj ≦ q &lt; λj+1 の wAj", "-")</f>
        <v>-</v>
      </c>
      <c r="P118" s="36" t="str">
        <f ca="1">IF($C$66&gt;=3, INDEX(INDIRECT($P$2&amp;"!B:B"), MATCH($P$72, INDIRECT($P$2&amp;"!A:A"), 0)),"-")</f>
        <v>-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187</v>
      </c>
      <c r="O119" s="45" t="str">
        <f>IF($C$66&gt;=4,"λj ≦ q+pz &lt; λj+1 の wAj", "-")</f>
        <v>-</v>
      </c>
      <c r="P119" s="36" t="str">
        <f ca="1">IF($C$66&gt;=4,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188</v>
      </c>
      <c r="O120" s="45" t="str">
        <f>IF($C$66&gt;=5,"λj ≦ q+2pz &lt; λj+1 の wAj", "-")</f>
        <v>-</v>
      </c>
      <c r="P120" s="36" t="str">
        <f ca="1">IF($C$66&gt;=5,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189</v>
      </c>
      <c r="O121" s="45" t="str">
        <f>IF($C$66&gt;=6,"λj ≦ q+3pz &lt; λj+1 の wAj", "-")</f>
        <v>-</v>
      </c>
      <c r="P121" s="36" t="str">
        <f ca="1">IF($C$66&gt;=6,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190</v>
      </c>
      <c r="O122" s="45" t="str">
        <f>IF($C$66&gt;=7,"λj ≦ q+4pz &lt; λj+1 の wAj", "-")</f>
        <v>-</v>
      </c>
      <c r="P122" s="36" t="str">
        <f ca="1">IF($C$66&gt;=7,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191</v>
      </c>
      <c r="O123" s="45" t="str">
        <f>IF($C$66&gt;=8,"λj ≦ q+5pz &lt; λj+1 の wAj", "-")</f>
        <v>-</v>
      </c>
      <c r="P123" s="36" t="str">
        <f ca="1">IF($C$66&gt;=8,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192</v>
      </c>
      <c r="O124" s="45" t="s">
        <v>194</v>
      </c>
      <c r="P124" s="36" t="e">
        <f ca="1">INDEX(INDIRECT($P$2&amp;"!B:B"), MATCH($P$78, INDIRECT($P$2&amp;"!A:A"), 0))</f>
        <v>#REF!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193</v>
      </c>
      <c r="O125" s="45" t="s">
        <v>195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196</v>
      </c>
      <c r="O126" s="45" t="str">
        <f>IF($C$66&gt;=3,"λj ≦ q &lt; λj+1 の wAj+1", "-")</f>
        <v>-</v>
      </c>
      <c r="P126" s="36" t="str">
        <f ca="1">IF($C$66&gt;=3, INDEX(INDIRECT($P$2&amp;"!B:B"), MATCH($P$80, INDIRECT($P$2&amp;"!A:A"), 0)),"-")</f>
        <v>-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197</v>
      </c>
      <c r="O127" s="45" t="str">
        <f>IF($C$66&gt;=4,"λj ≦ q+pz &lt; λj+1 の wAj+1", "-")</f>
        <v>-</v>
      </c>
      <c r="P127" s="36" t="str">
        <f ca="1">IF($C$66&gt;=4,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198</v>
      </c>
      <c r="O128" s="45" t="str">
        <f>IF($C$66&gt;=5,"λj ≦ q+2pz &lt; λj+1 の wAj+1", "-")</f>
        <v>-</v>
      </c>
      <c r="P128" s="36" t="str">
        <f ca="1">IF($C$66&gt;=5,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199</v>
      </c>
      <c r="O129" s="45" t="str">
        <f>IF($C$66&gt;=6,"λj ≦ q+3pz &lt; λj+1 の wAj+1", "-")</f>
        <v>-</v>
      </c>
      <c r="P129" s="36" t="str">
        <f ca="1">IF($C$66&gt;=6,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200</v>
      </c>
      <c r="O130" s="45" t="str">
        <f>IF($C$66&gt;=7,"λj ≦ q+4pz &lt; λj+1 の wAj+1", "-")</f>
        <v>-</v>
      </c>
      <c r="P130" s="36" t="str">
        <f ca="1">IF($C$66&gt;=7,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-ROUND(DEGREES($P$139),3)</f>
        <v>#VALUE!</v>
      </c>
      <c r="K131" s="5"/>
      <c r="M131" s="3">
        <f t="shared" si="2"/>
        <v>131</v>
      </c>
      <c r="N131" s="37" t="s">
        <v>201</v>
      </c>
      <c r="O131" s="45" t="str">
        <f>IF($C$66&gt;=8,"λj ≦ q+5pz &lt; λj+1 の wAj+1", "-")</f>
        <v>-</v>
      </c>
      <c r="P131" s="36" t="str">
        <f ca="1">IF($C$66&gt;=8,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202</v>
      </c>
      <c r="O132" s="45" t="s">
        <v>204</v>
      </c>
      <c r="P132" s="36" t="e">
        <f ca="1">INDEX(INDIRECT($P$2&amp;"!B:B"), MATCH($P$86, INDIRECT($P$2&amp;"!A:A"), 0))</f>
        <v>#REF!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203</v>
      </c>
      <c r="O133" s="45" t="s">
        <v>205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216</v>
      </c>
      <c r="O134" s="45" t="s">
        <v>135</v>
      </c>
      <c r="P134" s="2" t="e">
        <f ca="1">$C$7+$J$327/2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217</v>
      </c>
      <c r="O135" s="45" t="s">
        <v>136</v>
      </c>
      <c r="P135" s="2" t="e">
        <f>$C$7+$J$328/2</f>
        <v>#VALUE!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220</v>
      </c>
      <c r="O136" s="45" t="s">
        <v>410</v>
      </c>
      <c r="P136" s="2" t="e">
        <f>SQRT($P$135^2-$P$64^2)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221</v>
      </c>
      <c r="O137" s="45" t="s">
        <v>410</v>
      </c>
      <c r="P137" s="2" t="e">
        <f ca="1">SQRT($P$134^2-$J$4^2)</f>
        <v>#REF!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118</v>
      </c>
      <c r="O138" s="45" t="s">
        <v>118</v>
      </c>
      <c r="P138" s="2" t="e">
        <f ca="1">IF($P$136&gt;$P$137, ($P$136-$P$137)/$C$61, 0)</f>
        <v>#VALUE!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119</v>
      </c>
      <c r="O139" s="45" t="s">
        <v>451</v>
      </c>
      <c r="P139" s="2" t="e">
        <f ca="1">ATAN($P$138)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452</v>
      </c>
      <c r="P140" s="2" t="e">
        <f ca="1">-RADIANS($J$131)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$P$114</f>
        <v>#REF!</v>
      </c>
      <c r="M141" s="3">
        <f t="shared" si="2"/>
        <v>141</v>
      </c>
      <c r="N141" s="37" t="s">
        <v>282</v>
      </c>
      <c r="O141" s="45" t="s">
        <v>282</v>
      </c>
      <c r="P141" s="2" t="e">
        <f ca="1">SIN($P$140)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281</v>
      </c>
      <c r="O142" s="45" t="s">
        <v>281</v>
      </c>
      <c r="P142" s="2" t="e">
        <f ca="1">COS($P$140)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218</v>
      </c>
      <c r="O143" s="45" t="s">
        <v>85</v>
      </c>
      <c r="P143" s="2" t="e">
        <f>$C$7-$J$328/2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219</v>
      </c>
      <c r="O144" s="45" t="s">
        <v>86</v>
      </c>
      <c r="P144" s="2" t="e">
        <f ca="1">$C$7-$J$329/2</f>
        <v>#REF!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222</v>
      </c>
      <c r="O145" s="45" t="s">
        <v>414</v>
      </c>
      <c r="P145" s="2" t="e">
        <f ca="1">SQRT($P$144^2-$P$71^2)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223</v>
      </c>
      <c r="O146" s="45" t="s">
        <v>414</v>
      </c>
      <c r="P146" s="2" t="e">
        <f>SQRT($P$143^2-$P$64^2)</f>
        <v>#VALUE!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120</v>
      </c>
      <c r="P147" s="2" t="e">
        <f ca="1">($P145-$P146)/($P$64-$P$71)</f>
        <v>#REF!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121</v>
      </c>
      <c r="O148" s="45" t="s">
        <v>92</v>
      </c>
      <c r="P148" s="2" t="e">
        <f ca="1">ATAN($P$147)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>ROW(M149)</f>
        <v>149</v>
      </c>
      <c r="N149" s="37" t="s">
        <v>123</v>
      </c>
      <c r="O149" s="45" t="s">
        <v>415</v>
      </c>
      <c r="P149" s="2">
        <f>IF(MOD($C$66, 2)=0, $C$64, $C$65)</f>
        <v>0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 t="shared" si="2"/>
        <v>150</v>
      </c>
      <c r="N150" s="37" t="s">
        <v>122</v>
      </c>
      <c r="O150" s="45" t="s">
        <v>416</v>
      </c>
      <c r="P150" s="2">
        <f>IF(MOD($C$66, 2)=0, $C$65, $C$64)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224</v>
      </c>
      <c r="O151" s="45" t="s">
        <v>130</v>
      </c>
      <c r="P151" s="2" t="e">
        <f ca="1">$J$327/2-$J$317-$P$149/2</f>
        <v>#REF!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225</v>
      </c>
      <c r="O152" s="45" t="s">
        <v>131</v>
      </c>
      <c r="P152" s="2" t="e">
        <f ca="1">$J$327/2-$J$318-$P$150/2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227</v>
      </c>
      <c r="O153" s="45" t="str">
        <f>IF($C$66&gt;=3,"λj ≦ q &lt; λj+1 の wBj", "-")</f>
        <v>-</v>
      </c>
      <c r="P153" s="36" t="str">
        <f ca="1">IF($C$66&gt;=3, INDEX(INDIRECT($P$2&amp;"!C:C"), MATCH($P$72, INDIRECT($P$2&amp;"!A:A"), 0)),"-")</f>
        <v>-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228</v>
      </c>
      <c r="O154" s="45" t="str">
        <f>IF($C$66&gt;=4,"λj ≦ q+pz &lt; λj+1 の wBj", "-")</f>
        <v>-</v>
      </c>
      <c r="P154" s="36" t="str">
        <f ca="1">IF($C$66&gt;=4,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229</v>
      </c>
      <c r="O155" s="45" t="str">
        <f>IF($C$66&gt;=5,"λj ≦ q+2pz &lt; λj+1 の wBj", "-")</f>
        <v>-</v>
      </c>
      <c r="P155" s="36" t="str">
        <f ca="1">IF($C$66&gt;=5,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230</v>
      </c>
      <c r="O156" s="45" t="str">
        <f>IF($C$66&gt;=6,"λj ≦ q+3pz &lt; λj+1 の wBj", "-")</f>
        <v>-</v>
      </c>
      <c r="P156" s="36" t="str">
        <f ca="1">IF($C$66&gt;=6,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231</v>
      </c>
      <c r="O157" s="45" t="str">
        <f>IF($C$66&gt;=7,"λj ≦ q+4pz &lt; λj+1 の wBj", "-")</f>
        <v>-</v>
      </c>
      <c r="P157" s="36" t="str">
        <f ca="1">IF($C$66&gt;=7,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232</v>
      </c>
      <c r="O158" s="45" t="str">
        <f>IF($C$66&gt;=8,"λj ≦ q+5pz &lt; λj+1 の wBj", "-")</f>
        <v>-</v>
      </c>
      <c r="P158" s="36" t="str">
        <f ca="1">IF($C$66&gt;=8,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233</v>
      </c>
      <c r="O159" s="45" t="s">
        <v>243</v>
      </c>
      <c r="P159" s="36" t="e">
        <f ca="1">INDEX(INDIRECT($P$2&amp;"!C:C"), MATCH($P$78, INDIRECT($P$2&amp;"!A:A"), 0))</f>
        <v>#REF!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234</v>
      </c>
      <c r="O160" s="45" t="s">
        <v>244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235</v>
      </c>
      <c r="O161" s="45" t="str">
        <f>IF($C$66&gt;=3,"λj ≦ q &lt; λj+1 の wBj+1", "-")</f>
        <v>-</v>
      </c>
      <c r="P161" s="36" t="str">
        <f ca="1">IF($C$66&gt;=3, INDEX(INDIRECT($P$2&amp;"!C:C"), MATCH($P$80, INDIRECT($P$2&amp;"!A:A"), 0)),"-")</f>
        <v>-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236</v>
      </c>
      <c r="O162" s="45" t="str">
        <f>IF($C$66&gt;=4,"λj ≦ q+pz &lt; λj+1 の wBj+1", "-")</f>
        <v>-</v>
      </c>
      <c r="P162" s="36" t="str">
        <f ca="1">IF($C$66&gt;=4,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237</v>
      </c>
      <c r="O163" s="45" t="str">
        <f>IF($C$66&gt;=5,"λj ≦ q+2pz &lt; λj+1 の wBj+1", "-")</f>
        <v>-</v>
      </c>
      <c r="P163" s="36" t="str">
        <f ca="1">IF($C$66&gt;=5,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238</v>
      </c>
      <c r="O164" s="45" t="str">
        <f>IF($C$66&gt;=6,"λj ≦ q+3pz &lt; λj+1 の wBj+1", "-")</f>
        <v>-</v>
      </c>
      <c r="P164" s="36" t="str">
        <f ca="1">IF($C$66&gt;=6,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239</v>
      </c>
      <c r="O165" s="45" t="str">
        <f>IF($C$66&gt;=7,"λj ≦ q+4pz &lt; λj+1 の wBj+1", "-")</f>
        <v>-</v>
      </c>
      <c r="P165" s="36" t="str">
        <f ca="1">IF($C$66&gt;=7,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240</v>
      </c>
      <c r="O166" s="45" t="str">
        <f>IF($C$66&gt;=8,"λj ≦ q+5pz &lt; λj+1 の wBj+1", "-")</f>
        <v>-</v>
      </c>
      <c r="P166" s="36" t="str">
        <f ca="1">IF($C$66&gt;=8,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241</v>
      </c>
      <c r="O167" s="45" t="s">
        <v>245</v>
      </c>
      <c r="P167" s="2" t="e">
        <f ca="1">INDEX(INDIRECT($P$2&amp;"!C:C"), MATCH($P$86, INDIRECT($P$2&amp;"!A:A"), 0))</f>
        <v>#REF!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242</v>
      </c>
      <c r="O168" s="45" t="s">
        <v>246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263</v>
      </c>
      <c r="O169" s="46" t="str">
        <f>IF($C$66&gt;=4,"2列目AC内径（水平・めっき含・概算）","-")</f>
        <v>-</v>
      </c>
      <c r="P169" s="36" t="str">
        <f>IF($C$66&gt;=4,($P$89*$P$127+$P$97*$P$119)/($P$81-$P$73)+$C$19*2,"-")</f>
        <v>-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264</v>
      </c>
      <c r="O170" s="46" t="str">
        <f>IF($C$66&gt;=5,"3列目AC内径（水平・めっき含・概算）","-")</f>
        <v>-</v>
      </c>
      <c r="P170" s="36" t="str">
        <f>IF($C$66&gt;=5,($P$90*$P$128+$P$98*$P$120)/($P$82-$P$74)+$C$19*2,"-")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265</v>
      </c>
      <c r="O171" s="46" t="str">
        <f>IF($C$66&gt;=6,"4列目AC内径（水平・めっき含・概算）","-")</f>
        <v>-</v>
      </c>
      <c r="P171" s="36" t="str">
        <f>IF($C$66&gt;=6,($P$91*$P$129+$P$99*$P$121)/($P$83-$P$75)+$C$19*2,"-")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266</v>
      </c>
      <c r="O172" s="46" t="str">
        <f>IF($C$66&gt;=7,"5列目AC内径（水平・めっき含・概算）","-")</f>
        <v>-</v>
      </c>
      <c r="P172" s="36" t="str">
        <f>IF($C$66&gt;=7,($P$92*$P$130+$P$100*$P$122)/($P$84-$P$76)+$C$19*2,"-")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267</v>
      </c>
      <c r="O173" s="46" t="str">
        <f>IF($C$66&gt;=8,"6列目AC内径（水平・めっき含・概算）","-")</f>
        <v>-</v>
      </c>
      <c r="P173" s="36" t="str">
        <f>IF($C$66&gt;=8,($P$93*$P$131+$P$101*$P$123)/($P$85-$P$77)+$C$19*2,"-")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268</v>
      </c>
      <c r="O174" s="46" t="s">
        <v>253</v>
      </c>
      <c r="P174" s="2" t="e">
        <f ca="1">($P$94*$P$132+$P$102*$P$124)/($P$86-$P$78)+$C$19*2</f>
        <v>#REF!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212</v>
      </c>
      <c r="O175" s="46" t="s">
        <v>255</v>
      </c>
      <c r="P175" s="2" t="e">
        <f ca="1">INDEX(INDIRECT($P$2&amp;"!C:C"), MATCH(0, INDIRECT($P$2&amp;"!A:A"), 0))+$C$19*2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252</v>
      </c>
      <c r="O176" s="46" t="str">
        <f>IF($C$66&gt;=3,"1列目 BD内径（めっき含・概算）","-")</f>
        <v>-</v>
      </c>
      <c r="P176" s="36" t="str">
        <f>IF($C$66&gt;=3,($P$88*$P$161+$P$96*$P$153)/($P$80-$P$72)+$C$19*2,"-")</f>
        <v>-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257</v>
      </c>
      <c r="O177" s="46" t="str">
        <f>IF($C$66&gt;=4,"2列目 BD内径（めっき含・概算）","-")</f>
        <v>-</v>
      </c>
      <c r="P177" s="36" t="str">
        <f>IF($C$66&gt;=4,($P$89*$P$162+$P$97*$P$154)/($P$81-$P$73)+$C$19*2,"-")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258</v>
      </c>
      <c r="O178" s="46" t="str">
        <f>IF($C$66&gt;=5,"3列目 BD内径（めっき含・概算）","-")</f>
        <v>-</v>
      </c>
      <c r="P178" s="36" t="str">
        <f>IF($C$66&gt;=5,($P$90*$P$163+$P$98*$P$155)/($P$82-$P$74)+$C$19*2,"-")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259</v>
      </c>
      <c r="O179" s="46" t="str">
        <f>IF($C$66&gt;=6,"4列目 BD内径（めっき含・概算）","-")</f>
        <v>-</v>
      </c>
      <c r="P179" s="36" t="str">
        <f>IF($C$66&gt;=6,($P$91*$P$164+$P$99*$P$156)/($P$83-$P$75)+$C$19*2,"-")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260</v>
      </c>
      <c r="O180" s="46" t="str">
        <f>IF($C$66&gt;=7,"5列目 BD内径（めっき含・概算）","-")</f>
        <v>-</v>
      </c>
      <c r="P180" s="36" t="str">
        <f>IF($C$66&gt;=7,($P$92*$P$165+$P$100*$P$157)/($P$84-$P$76)+$C$19*2,"-")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261</v>
      </c>
      <c r="O181" s="46" t="str">
        <f>IF($C$66&gt;=8,"6列目 BD内径（めっき含・概算）","-")</f>
        <v>-</v>
      </c>
      <c r="P181" s="36" t="str">
        <f>IF($C$66&gt;=8,($P$93*$P$166+$P$101*$P$158)/($P$85-$P$77)+$C$19*2,"-")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262</v>
      </c>
      <c r="O182" s="46" t="s">
        <v>256</v>
      </c>
      <c r="P182" s="2" t="e">
        <f ca="1">($P$94*$P$167+$P$102*$P$159)/($P$86-$P$78)+$C$19*2</f>
        <v>#REF!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  <c r="N186" s="37" t="s">
        <v>124</v>
      </c>
      <c r="P186" s="2" t="e">
        <f>#REF!^2+(2*P15)^2</f>
        <v>#REF!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125</v>
      </c>
      <c r="O187" s="45" t="s">
        <v>21</v>
      </c>
      <c r="P187" s="2" t="e">
        <f>SQRT(P186)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49</v>
      </c>
      <c r="O188" s="45" t="s">
        <v>22</v>
      </c>
      <c r="P188" s="2" t="e">
        <f>2*P15/P187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50</v>
      </c>
      <c r="O189" s="45" t="s">
        <v>23</v>
      </c>
      <c r="P189" s="2" t="e">
        <f>#REF!/P187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126</v>
      </c>
      <c r="P190" s="2" t="e">
        <f>SQRT(P14^2-(P15-P28)^2)</f>
        <v>#NUM!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127</v>
      </c>
      <c r="P191" s="2" t="e">
        <f>SQRT(P14^2-(P15+P28)^2)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128</v>
      </c>
      <c r="P192" s="2">
        <f>P28*P15</f>
        <v>0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129</v>
      </c>
      <c r="P193" s="2" t="e">
        <f>SQRT(P14^2-P186/4)</f>
        <v>#REF!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58</v>
      </c>
      <c r="P194" s="2" t="e">
        <f>P193*P188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59</v>
      </c>
      <c r="O195" s="45" t="s">
        <v>19</v>
      </c>
      <c r="P195" s="2" t="e">
        <f>P193*P189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ref="M196" si="3">ROW(M196)</f>
        <v>196</v>
      </c>
      <c r="N196" s="37" t="s">
        <v>33</v>
      </c>
      <c r="O196" s="45" t="s">
        <v>18</v>
      </c>
      <c r="P196" s="2" t="e">
        <f>#REF!/2+P13-P194</f>
        <v>#REF!</v>
      </c>
    </row>
    <row r="197" spans="7:16" x14ac:dyDescent="0.4">
      <c r="H197" s="2"/>
      <c r="I197" s="19"/>
      <c r="J197" s="5"/>
      <c r="K197" s="5"/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  <c r="N211" s="45"/>
      <c r="O211" s="46"/>
      <c r="P211" s="1"/>
    </row>
    <row r="212" spans="7:16" x14ac:dyDescent="0.4">
      <c r="H212" s="28" t="s">
        <v>513</v>
      </c>
      <c r="I212" s="25"/>
      <c r="J212" s="5"/>
      <c r="K212" s="5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$P$114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$P$117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$P$117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IF($C$66&gt;=$C$122-5,$P$104-$P$31,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IF($C$66&gt;=$C122-4,$P$105-$P$31,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IF($C$66&gt;=$C$122-3,$P$106-$P$31,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IF($C$66&gt;=$C$122-2,$P$107-$P$31,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IF($C$66&gt;=$C122-1,$P$108-$P$31,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IF($C$66&gt;=$C122,$P$109-$P$31,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$P$110-$P$31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$P$111-$P$31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$P$112+$C$19*2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IF($C$66&gt;=3,($P$88*$P$126+$P$96*$P$118)/($P$80-$P$72)+$C$19*2,"-")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($P$95*$P$133+$P$103*$P$125)/($P$87-$P$79)+$C$19*2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DEGREES($P$148)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MIN($P$151, $P$152)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($P$88*$P$161+$P$96*$P$153)/($P$80-$P$72)+$C$19*2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($P$95*$P$168+$P$103*$P$160)/($P$87-$P$79)+$C$19*2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IF($C$66&gt;=$C$122-5,$J$311*$P$142-$C$61*$P$141,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IF($C$66&gt;=$C$122-4,$J$312*$P$142-($C$61+$C62)*$P$141,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IF($C$66&gt;=$C$122-3,$J$313*$P$142-($C$61+2*$C$62)*$P$141,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IF($C$66&gt;=$C$122-2,$J$314*$P$142-($C$61+3*$C$62)*$P$141,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IF($C$66&gt;=$C$122-1,$J$315*$P$142-($C$61+4*$C$62)*$P$141,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IF($C$66&gt;=$C$122,$J$316*$P$142-($C$61+5*$C$62)*$P$141,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$J$317*$P$142-($C$61+($C$66-2)*$C$62)*$P$141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$J$318*$P$142-($C$61+($C$66-1)*$C$62)*$P$141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IF($C$66&gt;=$C$122-5,$J$311*$P$141+$C$61*$P$142,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IF($C$66&gt;=$C$122-4,$J$312*$P$141+($C$61+$C$62)*$P$142,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IF($C$66&gt;=$C$122-3,$J$313*$P$141+($C$61+2*$C$62)*$P$142,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IF($C$66&gt;=$C$122-2,$J$314*$P$141+($C$61+3*$C$62)*$P$142,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IF($C$66&gt;=$C$122-1,$J$315*$P$141+($C$61+4*$C$62)*$P$142,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IF($C$66&gt;=$C$122-0,$J$316*$P$141+($C$61+5*$C$62)*$P$142,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$J$317*$P$141+($C$61+($C$66-2)*$C$62)*$P$142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$J$318*$P$141+($C$61+($C$66-1)*$C$62)*$P$142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$J$354*$P$142+$J$355*$P$141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-$J$354*$P$141+$J$355*$P$142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67" priority="6">
      <formula>$C$6&lt;&gt;1</formula>
    </cfRule>
  </conditionalFormatting>
  <conditionalFormatting sqref="B24:C25 B26:E29 B30:C30">
    <cfRule type="expression" dxfId="166" priority="2">
      <formula>$C$23&lt;&gt;1</formula>
    </cfRule>
  </conditionalFormatting>
  <conditionalFormatting sqref="B26:C26">
    <cfRule type="expression" dxfId="165" priority="44">
      <formula>$C$25&lt;&gt;0</formula>
    </cfRule>
  </conditionalFormatting>
  <conditionalFormatting sqref="B33:C33 B35:C35 B36:E39 B40:C40 G150:K150 G151:J154">
    <cfRule type="expression" dxfId="164" priority="51">
      <formula>$C$32&lt;&gt;1</formula>
    </cfRule>
  </conditionalFormatting>
  <conditionalFormatting sqref="B34:C34">
    <cfRule type="expression" dxfId="163" priority="3">
      <formula>$C$23&lt;&gt;1</formula>
    </cfRule>
  </conditionalFormatting>
  <conditionalFormatting sqref="B43:C43 B44:E44">
    <cfRule type="expression" dxfId="162" priority="144">
      <formula>NOT(AND($C$23=1, $C$32=1))</formula>
    </cfRule>
  </conditionalFormatting>
  <conditionalFormatting sqref="B53:C53">
    <cfRule type="expression" dxfId="161" priority="5">
      <formula>$C$47=1</formula>
    </cfRule>
  </conditionalFormatting>
  <conditionalFormatting sqref="B57:C57">
    <cfRule type="expression" dxfId="160" priority="105">
      <formula>$C$46&lt;&gt;1</formula>
    </cfRule>
  </conditionalFormatting>
  <conditionalFormatting sqref="B58:C58">
    <cfRule type="expression" dxfId="159" priority="104">
      <formula>$C$46&lt;&gt;2</formula>
    </cfRule>
  </conditionalFormatting>
  <conditionalFormatting sqref="B61:C68 H120:K120 H121:J131">
    <cfRule type="expression" dxfId="158" priority="33">
      <formula>$C$60&lt;&gt;1</formula>
    </cfRule>
  </conditionalFormatting>
  <conditionalFormatting sqref="B71:C72">
    <cfRule type="expression" dxfId="157" priority="100">
      <formula>$C$70&lt;&gt;1</formula>
    </cfRule>
  </conditionalFormatting>
  <conditionalFormatting sqref="B75:C75">
    <cfRule type="expression" dxfId="156" priority="91">
      <formula>$C74&lt;&gt;1</formula>
    </cfRule>
  </conditionalFormatting>
  <conditionalFormatting sqref="B78:C79">
    <cfRule type="expression" dxfId="155" priority="99">
      <formula>$C$77&lt;&gt;1</formula>
    </cfRule>
  </conditionalFormatting>
  <conditionalFormatting sqref="B82:C82">
    <cfRule type="expression" dxfId="154" priority="90">
      <formula>$C$81&lt;&gt;1</formula>
    </cfRule>
  </conditionalFormatting>
  <conditionalFormatting sqref="B85:C86">
    <cfRule type="expression" dxfId="153" priority="83">
      <formula>$C$84&lt;&gt;1</formula>
    </cfRule>
  </conditionalFormatting>
  <conditionalFormatting sqref="B89:C89">
    <cfRule type="expression" dxfId="152" priority="89">
      <formula>$C$88&lt;&gt;1</formula>
    </cfRule>
  </conditionalFormatting>
  <conditionalFormatting sqref="B92:C93">
    <cfRule type="expression" dxfId="151" priority="88">
      <formula>$C$91&lt;&gt;1</formula>
    </cfRule>
  </conditionalFormatting>
  <conditionalFormatting sqref="B96:C96">
    <cfRule type="expression" dxfId="150" priority="87">
      <formula>$C$95&lt;&gt;1</formula>
    </cfRule>
  </conditionalFormatting>
  <conditionalFormatting sqref="B99:C103 G166:K166">
    <cfRule type="expression" dxfId="149" priority="46">
      <formula>$C$98&lt;&gt;1</formula>
    </cfRule>
  </conditionalFormatting>
  <conditionalFormatting sqref="B106:C109 G173:K173 G174:J175">
    <cfRule type="expression" dxfId="148" priority="28">
      <formula>$C$105&lt;&gt;1</formula>
    </cfRule>
  </conditionalFormatting>
  <conditionalFormatting sqref="B36:E36">
    <cfRule type="expression" dxfId="147" priority="159">
      <formula>AND($C$23&lt;&gt;0, $C$43&lt;&gt;2)</formula>
    </cfRule>
  </conditionalFormatting>
  <conditionalFormatting sqref="B39:E39">
    <cfRule type="expression" dxfId="146" priority="50">
      <formula>$C$35&lt;&gt;1</formula>
    </cfRule>
  </conditionalFormatting>
  <conditionalFormatting sqref="B48:E48 C49:E49">
    <cfRule type="expression" dxfId="145" priority="107">
      <formula>$C$46=4</formula>
    </cfRule>
  </conditionalFormatting>
  <conditionalFormatting sqref="B52:E52">
    <cfRule type="expression" dxfId="144" priority="150">
      <formula>$C$47=0</formula>
    </cfRule>
  </conditionalFormatting>
  <conditionalFormatting sqref="C7">
    <cfRule type="expression" dxfId="143" priority="143">
      <formula>$C$7&gt;2*P191</formula>
    </cfRule>
  </conditionalFormatting>
  <conditionalFormatting sqref="C9">
    <cfRule type="expression" dxfId="142" priority="136">
      <formula>OR(C9&lt;0, $J$9&lt;364, $J$10&lt;345)</formula>
    </cfRule>
  </conditionalFormatting>
  <conditionalFormatting sqref="C14:C15">
    <cfRule type="expression" dxfId="141" priority="137">
      <formula>$C$14&lt;=0</formula>
    </cfRule>
  </conditionalFormatting>
  <conditionalFormatting sqref="C16">
    <cfRule type="expression" dxfId="140" priority="110">
      <formula>OR($C$16&lt;=0, $C$16&gt;=MIN($C$14, $C$15)/4)</formula>
    </cfRule>
  </conditionalFormatting>
  <conditionalFormatting sqref="C23">
    <cfRule type="expression" dxfId="139" priority="109">
      <formula>OR(ISBLANK($C$23), AND($C$23&lt;&gt;0, $C$23&lt;&gt;1))</formula>
    </cfRule>
  </conditionalFormatting>
  <conditionalFormatting sqref="C24">
    <cfRule type="expression" dxfId="138" priority="75">
      <formula>OR(ISBLANK($C$24), AND($C$24&lt;&gt;0, $C$24&lt;&gt;1))</formula>
    </cfRule>
  </conditionalFormatting>
  <conditionalFormatting sqref="C25">
    <cfRule type="expression" dxfId="137" priority="43">
      <formula>OR(ISBLANK($C$25), AND($C$25&lt;&gt;0, $C$25&lt;&gt;1))</formula>
    </cfRule>
  </conditionalFormatting>
  <conditionalFormatting sqref="C26">
    <cfRule type="expression" dxfId="136" priority="1355">
      <formula>IF($C$23=1,OR($C$26&lt;=0, $C$26&gt;=($C$14-$P$115)/2), $C$26&lt;&gt;"")</formula>
    </cfRule>
  </conditionalFormatting>
  <conditionalFormatting sqref="C27:C28">
    <cfRule type="expression" dxfId="135" priority="140">
      <formula>IF($C$23=1, OR($C$27&lt;=$C$14/2, $C$27&gt;=$C$14), $C$27&lt;&gt;"")</formula>
    </cfRule>
  </conditionalFormatting>
  <conditionalFormatting sqref="C28">
    <cfRule type="expression" dxfId="134" priority="161">
      <formula>IF($C$23=1, $C$28&gt;=$C$15, $C$28&lt;&gt;"")</formula>
    </cfRule>
  </conditionalFormatting>
  <conditionalFormatting sqref="C29">
    <cfRule type="expression" dxfId="133" priority="142">
      <formula>IF($C$23=1,OR($C$29&lt;=0, $C$29&gt;=#REF!/4),$C$29&lt;&gt;"")</formula>
    </cfRule>
  </conditionalFormatting>
  <conditionalFormatting sqref="C30">
    <cfRule type="expression" dxfId="132" priority="74">
      <formula>OR($C$30&lt;1, $C$30&gt;=MIN($C$27, $C$28)/4)</formula>
    </cfRule>
  </conditionalFormatting>
  <conditionalFormatting sqref="C32">
    <cfRule type="expression" dxfId="131" priority="121">
      <formula>OR(ISBLANK($C$32), AND($C$32&lt;&gt;0, $C$32&lt;&gt;1))</formula>
    </cfRule>
  </conditionalFormatting>
  <conditionalFormatting sqref="C33">
    <cfRule type="expression" dxfId="130" priority="101">
      <formula>OR(ISBLANK($C$33), AND($C$33&lt;&gt;0, $C$33&lt;&gt;1))</formula>
    </cfRule>
  </conditionalFormatting>
  <conditionalFormatting sqref="C34">
    <cfRule type="expression" dxfId="129" priority="4">
      <formula>OR(ISBLANK($C$34), AND($C$34&lt;&gt;0, $C$34&lt;&gt;1))</formula>
    </cfRule>
  </conditionalFormatting>
  <conditionalFormatting sqref="C35">
    <cfRule type="expression" dxfId="128" priority="78">
      <formula>OR(ISBLANK($C$35), AND($C$35&lt;&gt;0, $C$35&lt;&gt;1))</formula>
    </cfRule>
  </conditionalFormatting>
  <conditionalFormatting sqref="C36">
    <cfRule type="expression" dxfId="127" priority="1356">
      <formula>IF($C$32=1,OR($C$36&lt;=0, $C$36&gt;=($C$14-$P$112)/2),$C$36&lt;&gt;"")</formula>
    </cfRule>
  </conditionalFormatting>
  <conditionalFormatting sqref="C37:C38">
    <cfRule type="expression" dxfId="126" priority="162">
      <formula>OR($C$37&lt;=$C$14/2, $C$37&gt;=$C$14, $C$37&lt;=$C$48)</formula>
    </cfRule>
  </conditionalFormatting>
  <conditionalFormatting sqref="C38">
    <cfRule type="expression" dxfId="125" priority="163">
      <formula>IF($C$32=1,OR($C$38&lt;=$C$49, $C$38&gt;=$C$15),$C$38&lt;&gt;"")</formula>
    </cfRule>
  </conditionalFormatting>
  <conditionalFormatting sqref="C39">
    <cfRule type="expression" dxfId="124" priority="52">
      <formula>IF($C$32=1,OR($C$39&lt;=0, $C$39&gt;=$C$9/4),$C$39&lt;&gt;"")</formula>
    </cfRule>
  </conditionalFormatting>
  <conditionalFormatting sqref="C40">
    <cfRule type="expression" dxfId="123" priority="120">
      <formula>OR($C$40&lt;=0, $C$40&gt;=MIN($C$37, $C$38)/4, $C$40&lt;1)</formula>
    </cfRule>
  </conditionalFormatting>
  <conditionalFormatting sqref="C43">
    <cfRule type="expression" dxfId="122" priority="156">
      <formula>IF(AND($C$23=1, $C$32=1), AND($C$43&lt;&gt;1, $C$43&lt;&gt;2), $C$43&lt;&gt;"")</formula>
    </cfRule>
  </conditionalFormatting>
  <conditionalFormatting sqref="C44">
    <cfRule type="expression" dxfId="121" priority="155">
      <formula>AND(AND($C$23=1, $C$32=1), OR(ISBLANK($C$44), $C$44&lt;0, $C$44&gt;=$C$27/4))</formula>
    </cfRule>
  </conditionalFormatting>
  <conditionalFormatting sqref="C46">
    <cfRule type="expression" dxfId="120" priority="122">
      <formula>OR(ISBLANK($C$46), AND($C$46&lt;&gt;1, $C$46&lt;&gt;2,$C$46&lt;&gt;3, $C$46&lt;&gt;4))</formula>
    </cfRule>
  </conditionalFormatting>
  <conditionalFormatting sqref="C47">
    <cfRule type="expression" dxfId="119" priority="108">
      <formula>OR(ISBLANK($C$47), AND($C$47&lt;&gt;0, $C$47&lt;&gt;1))</formula>
    </cfRule>
  </conditionalFormatting>
  <conditionalFormatting sqref="C48:C49">
    <cfRule type="expression" dxfId="118" priority="151">
      <formula>IF($C$46&lt;&gt;4,OR($C$48&gt;=$C$14, AND($C$32=1, $C$48&gt;=$C$37),$C$48&lt;=$C$14/2),$C$48&lt;&gt;"")</formula>
    </cfRule>
  </conditionalFormatting>
  <conditionalFormatting sqref="C50">
    <cfRule type="expression" dxfId="117" priority="141">
      <formula>OR($C$50&lt;=0, $C$50&gt;$C$9/2)</formula>
    </cfRule>
  </conditionalFormatting>
  <conditionalFormatting sqref="C51">
    <cfRule type="expression" dxfId="116" priority="148">
      <formula>OR($C$51&lt;=0, $C$51+$C$50&gt;$S$2)</formula>
    </cfRule>
  </conditionalFormatting>
  <conditionalFormatting sqref="C52">
    <cfRule type="expression" dxfId="115" priority="1357">
      <formula>IF($C$47=1,OR($C$52&lt;=0, $C$52&gt;=($C$14-$P$175)/2),$C$52&lt;&gt;"")</formula>
    </cfRule>
  </conditionalFormatting>
  <conditionalFormatting sqref="C57">
    <cfRule type="expression" dxfId="114" priority="106">
      <formula>AND($C$46=1, OR($C$57&lt;=0, $C$57&gt;=MIN($C$48, $C$49)/4), ISBLANK($C$57))</formula>
    </cfRule>
  </conditionalFormatting>
  <conditionalFormatting sqref="C58">
    <cfRule type="expression" dxfId="113" priority="103">
      <formula>IF($C$46=2,OR($C$58&lt;=0, $C$58&gt;=MIN($C$48, $C$49)/4),$C$58&lt;&gt;"")</formula>
    </cfRule>
  </conditionalFormatting>
  <conditionalFormatting sqref="C60">
    <cfRule type="expression" dxfId="112" priority="40">
      <formula>OR(ISBLANK($C$60), AND($C$60&lt;&gt;0, $C$60&lt;&gt;1))</formula>
    </cfRule>
  </conditionalFormatting>
  <conditionalFormatting sqref="C64">
    <cfRule type="expression" dxfId="111" priority="146">
      <formula>OR($C$64&lt;=0, MOD($C$64,$C$63)&lt;&gt;0, $C$64&gt;=#REF!)</formula>
    </cfRule>
  </conditionalFormatting>
  <conditionalFormatting sqref="C66">
    <cfRule type="expression" dxfId="110" priority="145">
      <formula>OR(C66-QUOTIENT(C66,1)&lt;&gt;0, C66&lt;0, C66&gt;$C$122)</formula>
    </cfRule>
  </conditionalFormatting>
  <conditionalFormatting sqref="C68">
    <cfRule type="expression" dxfId="109" priority="80">
      <formula>OR(ISBLANK($C$68), AND($C$68&lt;&gt;20, $C$68&lt;&gt;6.6, $C$68&lt;&gt;15))</formula>
    </cfRule>
  </conditionalFormatting>
  <conditionalFormatting sqref="C70">
    <cfRule type="expression" dxfId="108" priority="119">
      <formula>OR(ISBLANK($C$70), AND($C$70&lt;&gt;0, $C$70&lt;&gt;1), AND($C$74&lt;&gt;0, $C$70=1))</formula>
    </cfRule>
  </conditionalFormatting>
  <conditionalFormatting sqref="C71">
    <cfRule type="expression" dxfId="107" priority="118">
      <formula>IF($C$70=1,OR($C$71&lt;=0, $C$71&gt;=#REF!/4),$C$71&lt;&gt;"")</formula>
    </cfRule>
  </conditionalFormatting>
  <conditionalFormatting sqref="C72">
    <cfRule type="expression" dxfId="106" priority="114">
      <formula>IF($C$70=1,AND($C$72&lt;&gt;15, $C$72&lt;&gt;30, $C$72&lt;&gt;45),$C$72&lt;&gt;"")</formula>
    </cfRule>
  </conditionalFormatting>
  <conditionalFormatting sqref="C74">
    <cfRule type="expression" dxfId="0" priority="98">
      <formula>OR(ISBLANK($C$74), AND($C$74&lt;&gt;0, $C$74&lt;&gt;1), AND($C$70&lt;&gt;0, $C$74=1))</formula>
    </cfRule>
  </conditionalFormatting>
  <conditionalFormatting sqref="C75">
    <cfRule type="expression" dxfId="105" priority="97">
      <formula>IF($C$74=1,OR($C$75&lt;=0, $C$75&gt;=#REF!/4),$C$75&lt;&gt;"")</formula>
    </cfRule>
  </conditionalFormatting>
  <conditionalFormatting sqref="C77">
    <cfRule type="expression" dxfId="104" priority="116">
      <formula>OR(ISBLANK($C$77), AND($C$77&lt;&gt;0, $C$77&lt;&gt;1), AND($C$81&lt;&gt;0, $C$77=1))</formula>
    </cfRule>
  </conditionalFormatting>
  <conditionalFormatting sqref="C78">
    <cfRule type="expression" dxfId="103" priority="117">
      <formula>IF($C$77=1,OR($C$78&lt;=0, $C$78&gt;=#REF!/4),$C$78&lt;&gt;"")</formula>
    </cfRule>
  </conditionalFormatting>
  <conditionalFormatting sqref="C79">
    <cfRule type="expression" dxfId="102" priority="115">
      <formula>IF($C$77=1,AND($C$79&lt;&gt;15, $C$79&lt;&gt;30, $C$79&lt;&gt;45),$C$79&lt;&gt;"")</formula>
    </cfRule>
  </conditionalFormatting>
  <conditionalFormatting sqref="C81">
    <cfRule type="expression" dxfId="101" priority="96">
      <formula>OR(ISBLANK($C$81), AND($C$81&lt;&gt;0, $C$81&lt;&gt;1), AND($C$77&lt;&gt;0, $C$81=1))</formula>
    </cfRule>
  </conditionalFormatting>
  <conditionalFormatting sqref="C82">
    <cfRule type="expression" dxfId="100" priority="95">
      <formula>IF($C$81=1,OR($C$82&lt;=0, $C$82&gt;=#REF!/4),$C$82&lt;&gt;"")</formula>
    </cfRule>
  </conditionalFormatting>
  <conditionalFormatting sqref="C84">
    <cfRule type="expression" dxfId="99" priority="84">
      <formula>OR(ISBLANK($C$84), AND($C$84&lt;&gt;0, $C$84&lt;&gt;1), AND($C$88&lt;&gt;0, $C$84=1))</formula>
    </cfRule>
  </conditionalFormatting>
  <conditionalFormatting sqref="C85">
    <cfRule type="expression" dxfId="98" priority="86">
      <formula>IF($C$84=1,OR($C$85&lt;=0, $C$85&gt;=$C$9/4),$C$85&lt;&gt;"")</formula>
    </cfRule>
  </conditionalFormatting>
  <conditionalFormatting sqref="C86">
    <cfRule type="expression" dxfId="97" priority="85">
      <formula>IF($C$84=1,AND($C$86&lt;&gt;15, $C$86&lt;&gt;30, $C$86&lt;&gt;45),$C$86&lt;&gt;"")</formula>
    </cfRule>
  </conditionalFormatting>
  <conditionalFormatting sqref="C88">
    <cfRule type="expression" dxfId="96" priority="153">
      <formula>OR(ISBLANK($C$88), AND($C$88&lt;&gt;0, $C$88&lt;&gt;1), AND($C$84&lt;&gt;0, $C$88&lt;&gt;0))</formula>
    </cfRule>
  </conditionalFormatting>
  <conditionalFormatting sqref="C89">
    <cfRule type="expression" dxfId="95" priority="94">
      <formula>IF($C$88=1,OR($C$89&lt;=0, $C$89&gt;=$C$9/4),$C$89&lt;&gt;"")</formula>
    </cfRule>
  </conditionalFormatting>
  <conditionalFormatting sqref="C91">
    <cfRule type="expression" dxfId="94" priority="112">
      <formula>OR(ISBLANK($C$91), AND($C$91&lt;&gt;0, $C$91&lt;&gt;1), AND($C$95&lt;&gt;0, $C$91&lt;&gt;0))</formula>
    </cfRule>
  </conditionalFormatting>
  <conditionalFormatting sqref="C92">
    <cfRule type="expression" dxfId="93" priority="113">
      <formula>IF($C$91=1,OR($C$92&lt;=0, $C$92&gt;=$C9/4),$C$92&lt;&gt;"")</formula>
    </cfRule>
  </conditionalFormatting>
  <conditionalFormatting sqref="C93">
    <cfRule type="expression" dxfId="92" priority="111">
      <formula>IF($C$91=1,AND($C$93&lt;&gt;15, $C$93&lt;&gt;30, $C$93&lt;&gt;45),$C$93&lt;&gt;"")</formula>
    </cfRule>
  </conditionalFormatting>
  <conditionalFormatting sqref="C95">
    <cfRule type="expression" dxfId="91" priority="93">
      <formula>OR(ISBLANK($C$95), AND($C$95&lt;&gt;0, $C$95&lt;&gt;1), AND($C$91&lt;&gt;0, $C$95&lt;&gt;0))</formula>
    </cfRule>
  </conditionalFormatting>
  <conditionalFormatting sqref="C96">
    <cfRule type="expression" dxfId="90" priority="92">
      <formula>IF($C$95=1,OR($C$96&lt;=0, $C$96&gt;=$C$9/4),$C$96&lt;&gt;"")</formula>
    </cfRule>
  </conditionalFormatting>
  <conditionalFormatting sqref="C99">
    <cfRule type="expression" dxfId="89" priority="49">
      <formula>$C$99&gt;=$C$14/2-$C$16</formula>
    </cfRule>
  </conditionalFormatting>
  <conditionalFormatting sqref="C100">
    <cfRule type="expression" dxfId="88" priority="48">
      <formula>$C$99+$C$100&gt;=$C$14/2</formula>
    </cfRule>
  </conditionalFormatting>
  <conditionalFormatting sqref="C101">
    <cfRule type="expression" dxfId="87" priority="1358">
      <formula>$C$101&gt;=($C$15-$P$113)/2</formula>
    </cfRule>
  </conditionalFormatting>
  <conditionalFormatting sqref="C105">
    <cfRule type="expression" dxfId="86" priority="41">
      <formula>OR(ISBLANK($C$105), AND($C$105&lt;&gt;0, $C$105&lt;&gt;1))</formula>
    </cfRule>
  </conditionalFormatting>
  <conditionalFormatting sqref="C112">
    <cfRule type="expression" dxfId="85" priority="139">
      <formula>AND(C112&lt;&gt;330, C112&lt;&gt;270, C112&lt;&gt;250)</formula>
    </cfRule>
  </conditionalFormatting>
  <conditionalFormatting sqref="C113">
    <cfRule type="expression" dxfId="84" priority="138">
      <formula>C113&lt;&gt;40</formula>
    </cfRule>
  </conditionalFormatting>
  <conditionalFormatting sqref="C116">
    <cfRule type="expression" dxfId="83" priority="132">
      <formula>OR(C116&gt;0, ABS(ABS(C116)-740)&gt;=1)</formula>
    </cfRule>
  </conditionalFormatting>
  <conditionalFormatting sqref="C117">
    <cfRule type="expression" dxfId="82" priority="135">
      <formula>OR(C117&gt;0, ABS(ABS(C117)-550)&gt;=1)</formula>
    </cfRule>
  </conditionalFormatting>
  <conditionalFormatting sqref="C118">
    <cfRule type="expression" dxfId="81" priority="133">
      <formula>OR(C118&gt;0, ABS(ABS(C118)-1150)&gt;=1)</formula>
    </cfRule>
  </conditionalFormatting>
  <conditionalFormatting sqref="C119">
    <cfRule type="expression" dxfId="80" priority="134">
      <formula>OR(ABS(C119)&gt;=0.2)</formula>
    </cfRule>
  </conditionalFormatting>
  <conditionalFormatting sqref="C142">
    <cfRule type="expression" dxfId="79" priority="147">
      <formula>OR($C$142&lt;=0, $C$142&gt;=MIN($C$64, $C$65))</formula>
    </cfRule>
  </conditionalFormatting>
  <conditionalFormatting sqref="C143">
    <cfRule type="expression" dxfId="78" priority="124">
      <formula>OR($C$143&lt;=0, $C$143&gt;$C$142)</formula>
    </cfRule>
  </conditionalFormatting>
  <conditionalFormatting sqref="G30:J30">
    <cfRule type="expression" dxfId="77" priority="1653">
      <formula>OR(AND($C$23&lt;&gt;1, $C$70&lt;&gt;1, $C$74&lt;&gt;1), $C$43=2)</formula>
    </cfRule>
  </conditionalFormatting>
  <conditionalFormatting sqref="G31:J31">
    <cfRule type="expression" dxfId="76" priority="1742">
      <formula>$J$30&lt;&gt;$C$147</formula>
    </cfRule>
  </conditionalFormatting>
  <conditionalFormatting sqref="G32:J33 G36:J37 G39:J39">
    <cfRule type="expression" dxfId="75" priority="1669">
      <formula>$J$30&lt;&gt;$C$152</formula>
    </cfRule>
  </conditionalFormatting>
  <conditionalFormatting sqref="G42:J43 G44:K44">
    <cfRule type="expression" dxfId="74" priority="1746">
      <formula>$J$42&lt;&gt;$C$148</formula>
    </cfRule>
  </conditionalFormatting>
  <conditionalFormatting sqref="G63:J66 G67:K67 G68:J71">
    <cfRule type="expression" dxfId="73" priority="180">
      <formula>$J$63=""</formula>
    </cfRule>
  </conditionalFormatting>
  <conditionalFormatting sqref="G64:J64 G72:J73">
    <cfRule type="expression" dxfId="72" priority="1748">
      <formula>$J$63&lt;&gt;$C$147</formula>
    </cfRule>
  </conditionalFormatting>
  <conditionalFormatting sqref="G65:J66 G69:J70 G74:J74">
    <cfRule type="expression" dxfId="71" priority="1671">
      <formula>$J$63&lt;&gt;$C$152</formula>
    </cfRule>
  </conditionalFormatting>
  <conditionalFormatting sqref="G79:J80 G81:K81">
    <cfRule type="expression" dxfId="70" priority="1753">
      <formula>$J$79&lt;&gt;$C$148</formula>
    </cfRule>
  </conditionalFormatting>
  <conditionalFormatting sqref="G84:J85 G86:K86 G87:J89">
    <cfRule type="expression" dxfId="69" priority="1755">
      <formula>$J$84&lt;&gt;$C$150</formula>
    </cfRule>
  </conditionalFormatting>
  <conditionalFormatting sqref="G92:J93 G94:K94 G95:J95">
    <cfRule type="expression" dxfId="68" priority="1758">
      <formula>$J$92&lt;&gt;$C$151</formula>
    </cfRule>
  </conditionalFormatting>
  <conditionalFormatting sqref="G100:J102 G103:K103 G104:J106">
    <cfRule type="expression" dxfId="67" priority="66">
      <formula>NOT($J$100&lt;&gt;"")</formula>
    </cfRule>
  </conditionalFormatting>
  <conditionalFormatting sqref="G110:J111 G112:K112 G113:J114">
    <cfRule type="expression" dxfId="66" priority="1761">
      <formula>OR($J$110&lt;&gt;$C$148, $C$32&lt;&gt;0)</formula>
    </cfRule>
  </conditionalFormatting>
  <conditionalFormatting sqref="G144:J149">
    <cfRule type="expression" dxfId="65" priority="79">
      <formula>$C$32&lt;&gt;1</formula>
    </cfRule>
  </conditionalFormatting>
  <conditionalFormatting sqref="G157:J165">
    <cfRule type="expression" dxfId="64" priority="45">
      <formula>$C$98&lt;&gt;1</formula>
    </cfRule>
  </conditionalFormatting>
  <conditionalFormatting sqref="G169:J172">
    <cfRule type="expression" dxfId="63" priority="29">
      <formula>$C$105&lt;&gt;1</formula>
    </cfRule>
  </conditionalFormatting>
  <conditionalFormatting sqref="G188:J189">
    <cfRule type="expression" dxfId="62" priority="1654">
      <formula>AND($C$32&lt;&gt;0, $C$35&lt;&gt;0)</formula>
    </cfRule>
  </conditionalFormatting>
  <conditionalFormatting sqref="G190:J191">
    <cfRule type="expression" dxfId="61" priority="1588">
      <formula>OR($C$32&lt;&gt;1, AND($C$32&lt;&gt;0, $C$35&lt;&gt;1))</formula>
    </cfRule>
  </conditionalFormatting>
  <conditionalFormatting sqref="G228:J228 G230:J230 G231:K231 G232:J232">
    <cfRule type="expression" dxfId="60" priority="1769">
      <formula>$J$230&lt;&gt;$C$156</formula>
    </cfRule>
  </conditionalFormatting>
  <conditionalFormatting sqref="G235:J235 G236:K236 G237:J241 G242:K242 G243:J244">
    <cfRule type="expression" dxfId="59" priority="73">
      <formula>OR($C$23&lt;&gt;1, AND($C$23&lt;&gt;0, $C$25&lt;&gt;0))</formula>
    </cfRule>
  </conditionalFormatting>
  <conditionalFormatting sqref="G247:J247 G248:K248 G249:J253 G254:K254 G255:J257">
    <cfRule type="expression" dxfId="58" priority="42">
      <formula>$C$25&lt;&gt;1</formula>
    </cfRule>
  </conditionalFormatting>
  <conditionalFormatting sqref="G286:J287 G288:K289 G290:J297">
    <cfRule type="expression" dxfId="57" priority="172">
      <formula>OR($C$23&lt;&gt;1, $C$32&lt;&gt;1)</formula>
    </cfRule>
  </conditionalFormatting>
  <conditionalFormatting sqref="G17:K17">
    <cfRule type="expression" dxfId="56" priority="154">
      <formula>$C$23&lt;&gt;0</formula>
    </cfRule>
  </conditionalFormatting>
  <conditionalFormatting sqref="G18:K18 G22:K22">
    <cfRule type="expression" dxfId="55" priority="1656">
      <formula>OR($C$43&lt;&gt;1, AND($C$23=1, $C$32=0))</formula>
    </cfRule>
  </conditionalFormatting>
  <conditionalFormatting sqref="G19:K19">
    <cfRule type="expression" dxfId="54" priority="1658">
      <formula>OR($C$43&lt;&gt;2, AND($C$23=0, $C$32=1))</formula>
    </cfRule>
  </conditionalFormatting>
  <conditionalFormatting sqref="G21:K21">
    <cfRule type="expression" dxfId="53" priority="152">
      <formula>$C$32&lt;&gt;0</formula>
    </cfRule>
  </conditionalFormatting>
  <conditionalFormatting sqref="G23:K23">
    <cfRule type="expression" dxfId="52" priority="1659">
      <formula>OR($C$32&lt;&gt;1, AND($C$32&lt;&gt;0, $C$23&lt;&gt;0, $C$43&lt;&gt;2))</formula>
    </cfRule>
  </conditionalFormatting>
  <conditionalFormatting sqref="G25:K25">
    <cfRule type="expression" dxfId="51" priority="1660">
      <formula>NOT(AND($C$47&lt;&gt;0,$C$32&lt;&gt;1))</formula>
    </cfRule>
  </conditionalFormatting>
  <conditionalFormatting sqref="G26:K26">
    <cfRule type="expression" dxfId="50" priority="1661">
      <formula>OR($C$32&lt;&gt;0, AND($C$32&lt;&gt;1, $C$47&lt;&gt;0))</formula>
    </cfRule>
  </conditionalFormatting>
  <conditionalFormatting sqref="G242:K242">
    <cfRule type="expression" dxfId="49" priority="102">
      <formula>$C$23&lt;&gt;1</formula>
    </cfRule>
  </conditionalFormatting>
  <conditionalFormatting sqref="H76:J76">
    <cfRule type="expression" dxfId="48" priority="55">
      <formula>NOT($J$42="")</formula>
    </cfRule>
  </conditionalFormatting>
  <conditionalFormatting sqref="H118:J119">
    <cfRule type="expression" dxfId="47" priority="32">
      <formula>$C$60&lt;&gt;1</formula>
    </cfRule>
  </conditionalFormatting>
  <conditionalFormatting sqref="H134:J134">
    <cfRule type="expression" dxfId="46" priority="31">
      <formula>$C$60&lt;&gt;1</formula>
    </cfRule>
  </conditionalFormatting>
  <conditionalFormatting sqref="H60:K60">
    <cfRule type="expression" dxfId="45" priority="58">
      <formula>NOT($J$42="")</formula>
    </cfRule>
  </conditionalFormatting>
  <conditionalFormatting sqref="H75:K76">
    <cfRule type="expression" dxfId="44" priority="57">
      <formula>NOT($J$63="")</formula>
    </cfRule>
  </conditionalFormatting>
  <conditionalFormatting sqref="H97:K97">
    <cfRule type="expression" dxfId="43" priority="56">
      <formula>NOT($J$79="")</formula>
    </cfRule>
  </conditionalFormatting>
  <conditionalFormatting sqref="H107:K107">
    <cfRule type="expression" dxfId="42" priority="1550">
      <formula>AND($C$32&lt;&gt;1, $C$47&lt;&gt;1)</formula>
    </cfRule>
  </conditionalFormatting>
  <conditionalFormatting sqref="H115:K115">
    <cfRule type="expression" dxfId="41" priority="53">
      <formula>NOT($J$110="")</formula>
    </cfRule>
  </conditionalFormatting>
  <conditionalFormatting sqref="I2:I3">
    <cfRule type="expression" dxfId="40" priority="26">
      <formula>I2="Z"</formula>
    </cfRule>
    <cfRule type="expression" dxfId="39" priority="27">
      <formula>I2="B"</formula>
    </cfRule>
    <cfRule type="expression" dxfId="38" priority="25">
      <formula>I2="X"</formula>
    </cfRule>
    <cfRule type="expression" dxfId="37" priority="24">
      <formula>I2="Y"</formula>
    </cfRule>
    <cfRule type="expression" dxfId="36" priority="23">
      <formula>$C$60&lt;&gt;1</formula>
    </cfRule>
  </conditionalFormatting>
  <conditionalFormatting sqref="I4:I5">
    <cfRule type="expression" dxfId="35" priority="9">
      <formula>I4="Y"</formula>
    </cfRule>
    <cfRule type="expression" dxfId="34" priority="10">
      <formula>I4="X"</formula>
    </cfRule>
    <cfRule type="expression" dxfId="33" priority="11">
      <formula>I4="Z"</formula>
    </cfRule>
    <cfRule type="expression" dxfId="32" priority="12">
      <formula>I4="B"</formula>
    </cfRule>
  </conditionalFormatting>
  <conditionalFormatting sqref="I7:I116 I118:I132 I134:I135 I137:I210 I212:I225 I227:I271 I273:I283 I285:I304 I306:I1048576">
    <cfRule type="expression" dxfId="31" priority="1682">
      <formula>I7="X"</formula>
    </cfRule>
    <cfRule type="expression" dxfId="30" priority="1743">
      <formula>I7="Z"</formula>
    </cfRule>
    <cfRule type="expression" dxfId="29" priority="1750">
      <formula>I7="B"</formula>
    </cfRule>
  </conditionalFormatting>
  <conditionalFormatting sqref="I7:I116 I137:I210 I285:I304 I227:I271 I118:I132 I134:I135 I212:I225 I273:I283 I306:I1048576">
    <cfRule type="expression" dxfId="28" priority="1674">
      <formula>I7="Y"</formula>
    </cfRule>
  </conditionalFormatting>
  <conditionalFormatting sqref="J10">
    <cfRule type="expression" dxfId="27" priority="1689">
      <formula>$J$10&lt;=$C$112</formula>
    </cfRule>
  </conditionalFormatting>
  <conditionalFormatting sqref="J11">
    <cfRule type="expression" dxfId="26" priority="68">
      <formula>$J$11&lt;=0</formula>
    </cfRule>
  </conditionalFormatting>
  <conditionalFormatting sqref="J12">
    <cfRule type="expression" dxfId="25" priority="67">
      <formula>$J$12&lt;=0</formula>
    </cfRule>
  </conditionalFormatting>
  <conditionalFormatting sqref="J30">
    <cfRule type="expression" dxfId="24" priority="1764">
      <formula>AND($J$30&lt;&gt;$C$147, $J$30&lt;&gt;$C$152)</formula>
    </cfRule>
  </conditionalFormatting>
  <conditionalFormatting sqref="J47">
    <cfRule type="expression" dxfId="23" priority="1765">
      <formula>$J$47&lt;&gt;$C$150</formula>
    </cfRule>
  </conditionalFormatting>
  <conditionalFormatting sqref="J55">
    <cfRule type="expression" dxfId="22" priority="1766">
      <formula>$J$55&lt;&gt;$C$151</formula>
    </cfRule>
  </conditionalFormatting>
  <conditionalFormatting sqref="J100">
    <cfRule type="expression" dxfId="21" priority="1767">
      <formula>$J$100&lt;&gt;$C$149</formula>
    </cfRule>
  </conditionalFormatting>
  <conditionalFormatting sqref="J118">
    <cfRule type="expression" dxfId="20" priority="190">
      <formula>OR($J$118&lt;&gt;#REF!, #REF!&lt;&gt;#REF!, #REF!&lt;&gt;$J$118)</formula>
    </cfRule>
  </conditionalFormatting>
  <conditionalFormatting sqref="J145 J158 J170">
    <cfRule type="expression" dxfId="19" priority="1773">
      <formula>$J$145&lt;&gt;$C$157</formula>
    </cfRule>
  </conditionalFormatting>
  <conditionalFormatting sqref="J180">
    <cfRule type="expression" dxfId="18" priority="1776">
      <formula>$J$180&lt;&gt;$C$159</formula>
    </cfRule>
  </conditionalFormatting>
  <conditionalFormatting sqref="J201">
    <cfRule type="expression" dxfId="17" priority="1777">
      <formula>$J$201&lt;&gt;$C$160</formula>
    </cfRule>
  </conditionalFormatting>
  <conditionalFormatting sqref="J215">
    <cfRule type="expression" dxfId="16" priority="1794">
      <formula>$J$215&lt;&gt;$C$162</formula>
    </cfRule>
  </conditionalFormatting>
  <conditionalFormatting sqref="J237">
    <cfRule type="expression" dxfId="15" priority="1778">
      <formula>$C$23&lt;&gt;1</formula>
    </cfRule>
    <cfRule type="expression" dxfId="14" priority="1779">
      <formula>$J$237&lt;&gt;$C$157</formula>
    </cfRule>
  </conditionalFormatting>
  <conditionalFormatting sqref="J249">
    <cfRule type="expression" dxfId="13" priority="1780">
      <formula>$J$249&lt;&gt;$C$158</formula>
    </cfRule>
  </conditionalFormatting>
  <conditionalFormatting sqref="J262">
    <cfRule type="expression" dxfId="12" priority="1781">
      <formula>$J$262&lt;&gt;$C$160</formula>
    </cfRule>
  </conditionalFormatting>
  <conditionalFormatting sqref="J287 J276">
    <cfRule type="expression" dxfId="11" priority="1795">
      <formula>$J$276&lt;&gt;$C$162</formula>
    </cfRule>
  </conditionalFormatting>
  <conditionalFormatting sqref="J306">
    <cfRule type="expression" dxfId="10" priority="131">
      <formula>OR($J$306&lt;=1, INT($J$306)&lt;&gt;$J$306)</formula>
    </cfRule>
  </conditionalFormatting>
  <conditionalFormatting sqref="J307">
    <cfRule type="expression" dxfId="9" priority="123">
      <formula>OR($J$307&lt;0, INT($J$307)&lt;&gt;$J$307)</formula>
    </cfRule>
  </conditionalFormatting>
  <conditionalFormatting sqref="J308">
    <cfRule type="expression" dxfId="8" priority="128">
      <formula>OR($J$308&lt;1, INT($J$308)&lt;&gt;$J$308)</formula>
    </cfRule>
  </conditionalFormatting>
  <conditionalFormatting sqref="J309">
    <cfRule type="expression" dxfId="7" priority="127">
      <formula>OR($J$309&lt;0, INT($J$309)&lt;&gt;$J$309)</formula>
    </cfRule>
  </conditionalFormatting>
  <conditionalFormatting sqref="J333">
    <cfRule type="expression" dxfId="6" priority="1768">
      <formula>$J$333&lt;=$C$143/2+$C$144</formula>
    </cfRule>
  </conditionalFormatting>
  <conditionalFormatting sqref="J137:K137 J138 J139:K139 K140 J141:K141 J179 J200 J214 J229 J236 J261 J275">
    <cfRule type="expression" dxfId="5" priority="1782">
      <formula>$J$139&lt;&gt;$C$156</formula>
    </cfRule>
  </conditionalFormatting>
  <conditionalFormatting sqref="P2 C20">
    <cfRule type="expression" dxfId="4" priority="129">
      <formula>ISERROR(INDIRECT($P$2&amp;"!$G$45"))</formula>
    </cfRule>
  </conditionalFormatting>
  <conditionalFormatting sqref="P115:P117 J337:J352">
    <cfRule type="expression" dxfId="3" priority="126">
      <formula>$J$309&lt;0</formula>
    </cfRule>
  </conditionalFormatting>
  <conditionalFormatting sqref="P169:P182">
    <cfRule type="expression" dxfId="2" priority="125">
      <formula>$J$309&lt;0</formula>
    </cfRule>
  </conditionalFormatting>
  <conditionalFormatting sqref="C98">
    <cfRule type="expression" dxfId="1" priority="1">
      <formula>OR(ISBLANK($C$98), AND($C$98&lt;&gt;0, $C$98&lt;&gt;1))</formula>
    </cfRule>
  </conditionalFormatting>
  <dataValidations count="23">
    <dataValidation imeMode="disabled" allowBlank="1" showInputMessage="1" showErrorMessage="1" sqref="P169:P182 J7:K7 C140:C141 I7:I14 P2:Q2 J9:K14 C87 C31 C109:C121 C89:C90 C80 C82:C83 C73 C75:C76 C94 C69 C17:C18 C92 C71 C78 C85 C168:C169 C96:C97 P115:P117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4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2024-07-31T23:58:43Z</dcterms:modified>
</cp:coreProperties>
</file>