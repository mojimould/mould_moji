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02A59C83-5B53-4609-B129-A3FC064F523B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M21" i="75"/>
  <c r="M22" i="75"/>
  <c r="M23" i="75"/>
  <c r="M24" i="75"/>
  <c r="M25" i="75"/>
  <c r="M26" i="75"/>
  <c r="P21" i="75"/>
  <c r="J257" i="75" s="1"/>
  <c r="P20" i="75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J146" i="75" l="1"/>
  <c r="J36" i="75"/>
  <c r="P9" i="75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M37" i="75"/>
  <c r="M36" i="75"/>
  <c r="M35" i="75"/>
  <c r="M34" i="75"/>
  <c r="M33" i="75"/>
  <c r="M32" i="75"/>
  <c r="M31" i="75"/>
  <c r="M30" i="75"/>
  <c r="M29" i="75"/>
  <c r="M28" i="75"/>
  <c r="P15" i="75"/>
  <c r="P187" i="75" s="1"/>
  <c r="M15" i="75"/>
  <c r="M14" i="75"/>
  <c r="M13" i="75"/>
  <c r="M8" i="75"/>
  <c r="M7" i="75"/>
  <c r="M6" i="75"/>
  <c r="M5" i="75"/>
  <c r="P2" i="75"/>
  <c r="M2" i="75"/>
  <c r="P78" i="75"/>
  <c r="P77" i="75"/>
  <c r="P124" i="75"/>
  <c r="P86" i="75" a="1"/>
  <c r="P85" i="75" a="1"/>
  <c r="P158" i="75"/>
  <c r="J48" i="75"/>
  <c r="P118" i="75"/>
  <c r="P116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8" i="75"/>
  <c r="P190" i="75" s="1"/>
  <c r="P159" i="75"/>
  <c r="P167" i="75"/>
  <c r="P132" i="75"/>
  <c r="P123" i="75"/>
  <c r="P166" i="75"/>
  <c r="P131" i="75"/>
  <c r="P76" i="75"/>
  <c r="P74" i="75"/>
  <c r="P75" i="75"/>
  <c r="P73" i="75"/>
  <c r="P114" i="75"/>
  <c r="P80" i="75"/>
  <c r="P79" i="75"/>
  <c r="P113" i="75"/>
  <c r="P115" i="75"/>
  <c r="P176" i="75"/>
  <c r="J66" i="75" l="1"/>
  <c r="P61" i="75"/>
  <c r="P192" i="75"/>
  <c r="P102" i="75"/>
  <c r="P182" i="75" s="1"/>
  <c r="P101" i="75"/>
  <c r="P173" i="75" s="1"/>
  <c r="P13" i="75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7" i="75"/>
  <c r="P84" i="75" a="1"/>
  <c r="P120" i="75"/>
  <c r="P83" i="75" a="1"/>
  <c r="P81" i="75" a="1"/>
  <c r="P156" i="75"/>
  <c r="P82" i="75" a="1"/>
  <c r="P155" i="75"/>
  <c r="P119" i="75"/>
  <c r="P154" i="75"/>
  <c r="P121" i="75"/>
  <c r="P125" i="75"/>
  <c r="P87" i="75" a="1"/>
  <c r="P161" i="75"/>
  <c r="P160" i="75"/>
  <c r="P88" i="75" a="1"/>
  <c r="P126" i="75"/>
  <c r="P29" i="75" l="1"/>
  <c r="P10" i="75" s="1"/>
  <c r="P11" i="75" s="1"/>
  <c r="P12" i="75" s="1"/>
  <c r="P83" i="75"/>
  <c r="P99" i="75" s="1"/>
  <c r="P84" i="75"/>
  <c r="P100" i="75" s="1"/>
  <c r="S6" i="75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P135" i="75"/>
  <c r="P138" i="75" s="1"/>
  <c r="P153" i="75"/>
  <c r="P152" i="75"/>
  <c r="P163" i="75"/>
  <c r="P164" i="75"/>
  <c r="P130" i="75"/>
  <c r="P127" i="75"/>
  <c r="P128" i="75"/>
  <c r="P165" i="75"/>
  <c r="P162" i="75"/>
  <c r="P129" i="75"/>
  <c r="P30" i="75" l="1"/>
  <c r="P5" i="75" s="1"/>
  <c r="P6" i="75" s="1"/>
  <c r="S9" i="75"/>
  <c r="T9" i="75" s="1"/>
  <c r="S11" i="75"/>
  <c r="S12" i="75"/>
  <c r="S8" i="75"/>
  <c r="T8" i="75" s="1"/>
  <c r="S10" i="75"/>
  <c r="S14" i="75"/>
  <c r="T14" i="75" s="1"/>
  <c r="P197" i="75"/>
  <c r="J13" i="75"/>
  <c r="J14" i="75" s="1"/>
  <c r="J261" i="75" s="1"/>
  <c r="K248" i="75" s="1"/>
  <c r="P179" i="75"/>
  <c r="P180" i="75"/>
  <c r="P178" i="75"/>
  <c r="P177" i="75"/>
  <c r="T12" i="75"/>
  <c r="T10" i="75"/>
  <c r="T11" i="75"/>
  <c r="P172" i="75"/>
  <c r="J333" i="75"/>
  <c r="P170" i="75"/>
  <c r="J328" i="75"/>
  <c r="J334" i="75"/>
  <c r="T3" i="75"/>
  <c r="S5" i="75"/>
  <c r="P171" i="75"/>
  <c r="P169" i="75"/>
  <c r="P168" i="75"/>
  <c r="P134" i="75"/>
  <c r="P133" i="75"/>
  <c r="J297" i="75" l="1"/>
  <c r="K13" i="75"/>
  <c r="J138" i="75"/>
  <c r="K138" i="75" s="1"/>
  <c r="J179" i="75"/>
  <c r="K179" i="75" s="1"/>
  <c r="J200" i="75"/>
  <c r="K200" i="75" s="1"/>
  <c r="P4" i="75"/>
  <c r="P7" i="75" s="1"/>
  <c r="J9" i="75" s="1"/>
  <c r="J120" i="75" s="1"/>
  <c r="K120" i="75" s="1"/>
  <c r="J130" i="75"/>
  <c r="J214" i="75"/>
  <c r="K214" i="75" s="1"/>
  <c r="J335" i="75"/>
  <c r="P175" i="75"/>
  <c r="P183" i="75"/>
  <c r="J329" i="75"/>
  <c r="P145" i="75" s="1"/>
  <c r="P146" i="75" s="1"/>
  <c r="K261" i="75"/>
  <c r="K236" i="75"/>
  <c r="J323" i="75"/>
  <c r="K323" i="75" s="1"/>
  <c r="S18" i="75"/>
  <c r="T18" i="75" s="1"/>
  <c r="J321" i="75"/>
  <c r="K321" i="75" s="1"/>
  <c r="J236" i="75"/>
  <c r="J229" i="75"/>
  <c r="K229" i="75" s="1"/>
  <c r="J248" i="75"/>
  <c r="S13" i="75"/>
  <c r="T13" i="75" s="1"/>
  <c r="J322" i="75"/>
  <c r="K322" i="75" s="1"/>
  <c r="J275" i="75"/>
  <c r="K275" i="75" s="1"/>
  <c r="K14" i="75"/>
  <c r="J324" i="75"/>
  <c r="K324" i="75" s="1"/>
  <c r="P136" i="75"/>
  <c r="P144" i="75"/>
  <c r="P147" i="75" s="1"/>
  <c r="J103" i="75" l="1"/>
  <c r="K103" i="75" s="1"/>
  <c r="J81" i="75"/>
  <c r="K81" i="75" s="1"/>
  <c r="J112" i="75"/>
  <c r="J220" i="75"/>
  <c r="K220" i="75" s="1"/>
  <c r="J10" i="75"/>
  <c r="J57" i="75" s="1"/>
  <c r="K57" i="75" s="1"/>
  <c r="J326" i="75"/>
  <c r="K326" i="75" s="1"/>
  <c r="J320" i="75"/>
  <c r="K320" i="75" s="1"/>
  <c r="J319" i="75"/>
  <c r="K319" i="75" s="1"/>
  <c r="J166" i="75"/>
  <c r="J150" i="75"/>
  <c r="K173" i="75" s="1"/>
  <c r="J192" i="75"/>
  <c r="K192" i="75" s="1"/>
  <c r="J140" i="75"/>
  <c r="K140" i="75" s="1"/>
  <c r="J206" i="75"/>
  <c r="K206" i="75" s="1"/>
  <c r="J11" i="75"/>
  <c r="K9" i="75"/>
  <c r="J173" i="75"/>
  <c r="J94" i="75"/>
  <c r="K94" i="75" s="1"/>
  <c r="J67" i="75"/>
  <c r="K67" i="75" s="1"/>
  <c r="J325" i="75"/>
  <c r="K325" i="75" s="1"/>
  <c r="P8" i="75"/>
  <c r="J21" i="75" s="1"/>
  <c r="P148" i="75"/>
  <c r="P149" i="75" s="1"/>
  <c r="J331" i="75" s="1"/>
  <c r="J332" i="75" s="1"/>
  <c r="K332" i="75" s="1"/>
  <c r="J288" i="75"/>
  <c r="K288" i="75" s="1"/>
  <c r="J86" i="75"/>
  <c r="K86" i="75" s="1"/>
  <c r="J355" i="75"/>
  <c r="K355" i="75" s="1"/>
  <c r="P137" i="75"/>
  <c r="P139" i="75" s="1"/>
  <c r="P140" i="75" s="1"/>
  <c r="J131" i="75" s="1"/>
  <c r="J289" i="75" l="1"/>
  <c r="K289" i="75" s="1"/>
  <c r="K112" i="75"/>
  <c r="J34" i="75"/>
  <c r="K34" i="75" s="1"/>
  <c r="J44" i="75"/>
  <c r="K44" i="75" s="1"/>
  <c r="J254" i="75"/>
  <c r="J231" i="75"/>
  <c r="K231" i="75" s="1"/>
  <c r="J242" i="75"/>
  <c r="K254" i="75" s="1"/>
  <c r="J267" i="75"/>
  <c r="K267" i="75" s="1"/>
  <c r="J12" i="75"/>
  <c r="J49" i="75"/>
  <c r="K49" i="75" s="1"/>
  <c r="J278" i="75"/>
  <c r="K278" i="75" s="1"/>
  <c r="K10" i="75"/>
  <c r="J17" i="75"/>
  <c r="J18" i="75" s="1"/>
  <c r="J22" i="75" s="1"/>
  <c r="K22" i="75" s="1"/>
  <c r="J20" i="75"/>
  <c r="K20" i="75" s="1"/>
  <c r="K166" i="75"/>
  <c r="K150" i="75"/>
  <c r="J24" i="75"/>
  <c r="K24" i="75" s="1"/>
  <c r="J354" i="75" s="1"/>
  <c r="K354" i="75" s="1"/>
  <c r="K242" i="75"/>
  <c r="J23" i="75"/>
  <c r="K21" i="75"/>
  <c r="P141" i="75"/>
  <c r="J330" i="75"/>
  <c r="K330" i="75" s="1"/>
  <c r="K17" i="75" l="1"/>
  <c r="K18" i="75"/>
  <c r="K19" i="75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58" i="75"/>
  <c r="P52" i="75"/>
  <c r="P56" i="75" s="1"/>
  <c r="P53" i="75"/>
  <c r="P54" i="75" s="1"/>
  <c r="P48" i="75"/>
  <c r="P47" i="75"/>
  <c r="P45" i="75" l="1"/>
  <c r="J26" i="75" s="1"/>
  <c r="K26" i="75" s="1"/>
  <c r="S17" i="75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<sst xmlns="http://schemas.openxmlformats.org/spreadsheetml/2006/main" count="1339" uniqueCount="659">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</sst>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  <xf numFmtId="178" fontId="2" fillId="3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S22" sqref="S2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3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6" bestFit="1" customWidth="1"/>
    <col min="15" max="15" width="30.125" style="44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614</v>
      </c>
      <c r="D1" s="75" t="s">
        <v>608</v>
      </c>
      <c r="E1" s="75" t="s">
        <v>607</v>
      </c>
      <c r="H1" s="4" t="s">
        <v>611</v>
      </c>
      <c r="R1" s="4" t="s">
        <v>72</v>
      </c>
      <c r="S1" s="3"/>
      <c r="T1" s="3"/>
    </row>
    <row r="2" spans="1:20" ht="15" thickTop="1" x14ac:dyDescent="0.4">
      <c r="B2" s="76" t="s">
        <v>609</v>
      </c>
      <c r="C2" s="77"/>
      <c r="H2" s="9" t="s">
        <v>612</v>
      </c>
      <c r="I2" s="11" t="s">
        <v>73</v>
      </c>
      <c r="J2" s="11" t="str">
        <f>"O" &amp; $C$2</f>
        <v>O</v>
      </c>
      <c r="M2" s="3">
        <f t="shared" ref="M2:M98" si="0">ROW(M2)</f>
        <v>2</v>
      </c>
      <c r="N2" s="5" t="s">
        <v>528</v>
      </c>
      <c r="O2" s="2" t="s">
        <v>447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#NUM!</v>
      </c>
      <c r="T2" s="10" t="e">
        <f>C118+S2</f>
        <v>#NUM!</v>
      </c>
    </row>
    <row r="3" spans="1:20" x14ac:dyDescent="0.4">
      <c r="C3" s="88"/>
      <c r="H3" s="9" t="s">
        <v>613</v>
      </c>
      <c r="I3" s="11" t="s">
        <v>73</v>
      </c>
      <c r="J3" s="11" t="str">
        <f ca="1">TEXT(TODAY(), "yyyymmdd")</f>
        <v>20241003</v>
      </c>
      <c r="M3" s="3">
        <f t="shared" si="0"/>
        <v>3</v>
      </c>
      <c r="N3" s="3" t="s">
        <v>605</v>
      </c>
      <c r="O3" s="2" t="s">
        <v>606</v>
      </c>
      <c r="P3" s="35">
        <f>$C$8+($D$8+$E$8)/2</f>
        <v>0</v>
      </c>
      <c r="R3" s="9" t="s">
        <v>44</v>
      </c>
      <c r="S3" s="10" t="e">
        <f>$J$4+$J$5-S2</f>
        <v>#NUM!</v>
      </c>
      <c r="T3" s="10" t="e">
        <f>C118+S3</f>
        <v>#NUM!</v>
      </c>
    </row>
    <row r="4" spans="1:20" ht="15" thickBot="1" x14ac:dyDescent="0.45">
      <c r="B4" s="82" t="s">
        <v>91</v>
      </c>
      <c r="G4" s="3" t="s">
        <v>93</v>
      </c>
      <c r="H4" s="9" t="s">
        <v>436</v>
      </c>
      <c r="I4" s="11" t="s">
        <v>74</v>
      </c>
      <c r="J4" s="26">
        <f>IF($C$10=0, $C$9+($D$8+$E$8)/4, $C$9)</f>
        <v>0</v>
      </c>
      <c r="K4" s="26">
        <f>$C$118+$J$4</f>
        <v>-1149.9739999999999</v>
      </c>
      <c r="M4" s="3">
        <f t="shared" si="0"/>
        <v>4</v>
      </c>
      <c r="N4" s="36" t="s">
        <v>272</v>
      </c>
      <c r="O4" s="44" t="s">
        <v>60</v>
      </c>
      <c r="P4" s="2" t="e">
        <f>-RADIANS($J$13)</f>
        <v>#NUM!</v>
      </c>
      <c r="R4" s="9" t="s">
        <v>45</v>
      </c>
      <c r="S4" s="10" t="e">
        <f>S2-C112</f>
        <v>#NUM!</v>
      </c>
    </row>
    <row r="5" spans="1:20" ht="15" thickTop="1" x14ac:dyDescent="0.4">
      <c r="B5" s="80" t="s">
        <v>492</v>
      </c>
      <c r="C5" s="78"/>
      <c r="G5" s="3" t="s">
        <v>94</v>
      </c>
      <c r="H5" s="9" t="s">
        <v>420</v>
      </c>
      <c r="I5" s="11" t="s">
        <v>74</v>
      </c>
      <c r="J5" s="26">
        <f>$P$3-$J$4</f>
        <v>0</v>
      </c>
      <c r="K5" s="26">
        <f>$C$118+$J$5</f>
        <v>-1149.9739999999999</v>
      </c>
      <c r="M5" s="3">
        <f t="shared" si="0"/>
        <v>5</v>
      </c>
      <c r="N5" s="36" t="s">
        <v>273</v>
      </c>
      <c r="O5" s="44" t="s">
        <v>61</v>
      </c>
      <c r="P5" s="2" t="e">
        <f>ASIN($P$30)</f>
        <v>#NUM!</v>
      </c>
      <c r="R5" s="9" t="s">
        <v>46</v>
      </c>
      <c r="S5" s="10" t="e">
        <f>S3-C112</f>
        <v>#NUM!</v>
      </c>
    </row>
    <row r="6" spans="1:20" x14ac:dyDescent="0.4">
      <c r="B6" s="80" t="s">
        <v>625</v>
      </c>
      <c r="C6" s="81"/>
      <c r="M6" s="3">
        <f t="shared" si="0"/>
        <v>6</v>
      </c>
      <c r="N6" s="36" t="s">
        <v>274</v>
      </c>
      <c r="O6" s="44" t="s">
        <v>137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92</v>
      </c>
      <c r="B7" s="12" t="s">
        <v>4</v>
      </c>
      <c r="C7" s="28"/>
      <c r="H7" s="4" t="s">
        <v>610</v>
      </c>
      <c r="I7" s="6"/>
      <c r="M7" s="3">
        <f t="shared" si="0"/>
        <v>7</v>
      </c>
      <c r="N7" s="36" t="s">
        <v>62</v>
      </c>
      <c r="P7" s="2" t="e">
        <f>SIN($P$4)</f>
        <v>#NUM!</v>
      </c>
      <c r="R7" s="15" t="s">
        <v>54</v>
      </c>
      <c r="S7" s="16">
        <f>C116+$P$17/2</f>
        <v>-739.55499999999995</v>
      </c>
    </row>
    <row r="8" spans="1:20" x14ac:dyDescent="0.4">
      <c r="B8" s="12" t="s">
        <v>606</v>
      </c>
      <c r="C8" s="28"/>
      <c r="D8" s="74"/>
      <c r="E8" s="74"/>
      <c r="F8" s="2"/>
      <c r="H8" s="4" t="s">
        <v>446</v>
      </c>
      <c r="I8" s="6"/>
      <c r="J8" s="36" t="s">
        <v>428</v>
      </c>
      <c r="K8" s="3" t="s">
        <v>69</v>
      </c>
      <c r="M8" s="3">
        <f t="shared" si="0"/>
        <v>8</v>
      </c>
      <c r="N8" s="36" t="s">
        <v>526</v>
      </c>
      <c r="P8" s="2" t="e">
        <f>COS($P$4)</f>
        <v>#NUM!</v>
      </c>
      <c r="R8" s="9" t="s">
        <v>47</v>
      </c>
      <c r="S8" s="10" t="e">
        <f>-C115+(P32+P33)/2+S22/2-P195</f>
        <v>#NUM!</v>
      </c>
      <c r="T8" s="10" t="e">
        <f t="shared" ref="T8:T14" si="1">$C$117+S8</f>
        <v>#NUM!</v>
      </c>
    </row>
    <row r="9" spans="1:20" x14ac:dyDescent="0.4">
      <c r="A9" s="3" t="s">
        <v>93</v>
      </c>
      <c r="B9" s="12" t="s">
        <v>5</v>
      </c>
      <c r="C9" s="79"/>
      <c r="F9" s="14"/>
      <c r="G9" s="3" t="s">
        <v>135</v>
      </c>
      <c r="H9" s="9" t="s">
        <v>476</v>
      </c>
      <c r="I9" s="11" t="s">
        <v>74</v>
      </c>
      <c r="J9" s="26" t="e">
        <f>$J$4+$P$29*$P$7</f>
        <v>#NUM!</v>
      </c>
      <c r="K9" s="26" t="e">
        <f>$C$118+$J$9</f>
        <v>#NUM!</v>
      </c>
      <c r="M9" s="3">
        <f t="shared" si="0"/>
        <v>9</v>
      </c>
      <c r="N9" s="3" t="s">
        <v>627</v>
      </c>
      <c r="O9" s="44" t="s">
        <v>628</v>
      </c>
      <c r="P9" s="2">
        <f>$C$11-$J$4</f>
        <v>0</v>
      </c>
      <c r="R9" s="9" t="s">
        <v>11</v>
      </c>
      <c r="S9" s="10" t="e">
        <f>-C115+P31+S22/2-P195</f>
        <v>#NUM!</v>
      </c>
      <c r="T9" s="10" t="e">
        <f t="shared" si="1"/>
        <v>#NUM!</v>
      </c>
    </row>
    <row r="10" spans="1:20" x14ac:dyDescent="0.4">
      <c r="B10" s="12" t="s">
        <v>615</v>
      </c>
      <c r="C10" s="55"/>
      <c r="G10" s="3" t="s">
        <v>136</v>
      </c>
      <c r="H10" s="9" t="s">
        <v>477</v>
      </c>
      <c r="I10" s="11" t="s">
        <v>74</v>
      </c>
      <c r="J10" s="26" t="e">
        <f>$J$4+$J$5-$J$9</f>
        <v>#NUM!</v>
      </c>
      <c r="K10" s="26" t="e">
        <f>$C$118+$J$10</f>
        <v>#NUM!</v>
      </c>
      <c r="M10" s="3">
        <f t="shared" si="0"/>
        <v>10</v>
      </c>
      <c r="N10" s="3" t="s">
        <v>629</v>
      </c>
      <c r="O10" s="44" t="s">
        <v>630</v>
      </c>
      <c r="P10" s="2" t="e">
        <f>$P$9/$P$29</f>
        <v>#NUM!</v>
      </c>
      <c r="R10" s="9" t="s">
        <v>48</v>
      </c>
      <c r="S10" s="10" t="e">
        <f>C115-(P35+P36)/2-S22/2+P195</f>
        <v>#NUM!</v>
      </c>
      <c r="T10" s="10" t="e">
        <f t="shared" si="1"/>
        <v>#NUM!</v>
      </c>
    </row>
    <row r="11" spans="1:20" x14ac:dyDescent="0.4">
      <c r="A11" s="3" t="s">
        <v>135</v>
      </c>
      <c r="B11" s="12" t="s">
        <v>626</v>
      </c>
      <c r="C11" s="89"/>
      <c r="H11" s="9" t="s">
        <v>478</v>
      </c>
      <c r="I11" s="11" t="s">
        <v>74</v>
      </c>
      <c r="J11" s="26" t="e">
        <f>$J$9-$C$112</f>
        <v>#NUM!</v>
      </c>
      <c r="M11" s="3">
        <f t="shared" si="0"/>
        <v>11</v>
      </c>
      <c r="N11" s="36" t="s">
        <v>272</v>
      </c>
      <c r="O11" s="44" t="s">
        <v>631</v>
      </c>
      <c r="P11" s="2" t="e">
        <f>ASIN($P$10)</f>
        <v>#NUM!</v>
      </c>
      <c r="R11" s="9" t="s">
        <v>14</v>
      </c>
      <c r="S11" s="10" t="e">
        <f>C115-P34-S22/2+P195</f>
        <v>#NUM!</v>
      </c>
      <c r="T11" s="10" t="e">
        <f t="shared" si="1"/>
        <v>#NUM!</v>
      </c>
    </row>
    <row r="12" spans="1:20" x14ac:dyDescent="0.4">
      <c r="B12" s="18"/>
      <c r="C12" s="19"/>
      <c r="H12" s="9" t="s">
        <v>479</v>
      </c>
      <c r="I12" s="11" t="s">
        <v>74</v>
      </c>
      <c r="J12" s="41" t="e">
        <f>$J$10-$C$112</f>
        <v>#NUM!</v>
      </c>
      <c r="M12" s="3">
        <f t="shared" si="0"/>
        <v>12</v>
      </c>
      <c r="N12" s="36" t="s">
        <v>272</v>
      </c>
      <c r="O12" s="44" t="s">
        <v>632</v>
      </c>
      <c r="P12" s="2" t="e">
        <f>DEGREES($P$11)</f>
        <v>#NUM!</v>
      </c>
      <c r="R12" s="9" t="s">
        <v>53</v>
      </c>
      <c r="S12" s="10" t="e">
        <f>C115-(P35+P36)/2-S22/2+P195-S22/2-$P$20+$P$18/2</f>
        <v>#NUM!</v>
      </c>
      <c r="T12" s="10" t="e">
        <f t="shared" si="1"/>
        <v>#NUM!</v>
      </c>
    </row>
    <row r="13" spans="1:20" ht="15" thickBot="1" x14ac:dyDescent="0.45">
      <c r="B13" s="82" t="s">
        <v>485</v>
      </c>
      <c r="C13" s="23"/>
      <c r="G13" s="3" t="s">
        <v>75</v>
      </c>
      <c r="H13" s="9" t="s">
        <v>480</v>
      </c>
      <c r="I13" s="11" t="s">
        <v>75</v>
      </c>
      <c r="J13" s="26" t="e">
        <f>IF($C$6=1,-ROUND($P$12,3),-ROUND($P$6,3))</f>
        <v>#NUM!</v>
      </c>
      <c r="K13" s="26" t="e">
        <f>-$C$119+$J$13</f>
        <v>#NUM!</v>
      </c>
      <c r="M13" s="3">
        <f t="shared" si="0"/>
        <v>13</v>
      </c>
      <c r="N13" s="36" t="s">
        <v>95</v>
      </c>
      <c r="P13" s="2" t="e">
        <f>SQRT($P$14^2-$P$15^2)</f>
        <v>#NUM!</v>
      </c>
      <c r="R13" s="9" t="s">
        <v>51</v>
      </c>
      <c r="S13" s="10" t="e">
        <f>-S12+C44</f>
        <v>#NUM!</v>
      </c>
      <c r="T13" s="10" t="e">
        <f t="shared" si="1"/>
        <v>#NUM!</v>
      </c>
    </row>
    <row r="14" spans="1:20" ht="15" thickTop="1" x14ac:dyDescent="0.4">
      <c r="B14" s="80" t="s">
        <v>55</v>
      </c>
      <c r="C14" s="13"/>
      <c r="D14" s="74"/>
      <c r="E14" s="74"/>
      <c r="G14" s="3" t="s">
        <v>75</v>
      </c>
      <c r="H14" s="9" t="s">
        <v>370</v>
      </c>
      <c r="I14" s="11" t="s">
        <v>75</v>
      </c>
      <c r="J14" s="26" t="e">
        <f>180+$J$13</f>
        <v>#NUM!</v>
      </c>
      <c r="K14" s="26" t="e">
        <f>-$C$119+$J$14</f>
        <v>#NUM!</v>
      </c>
      <c r="M14" s="3">
        <f t="shared" si="0"/>
        <v>14</v>
      </c>
      <c r="N14" s="36" t="s">
        <v>96</v>
      </c>
      <c r="O14" s="44" t="s">
        <v>13</v>
      </c>
      <c r="P14" s="2">
        <f>$P$26-$C$114</f>
        <v>-100</v>
      </c>
      <c r="R14" s="9" t="s">
        <v>52</v>
      </c>
      <c r="S14" s="10" t="e">
        <f>-C115+(P32+P33)/2+S22/2-P195+S22/2+$P$24-$P$22/2</f>
        <v>#NUM!</v>
      </c>
      <c r="T14" s="10" t="e">
        <f t="shared" si="1"/>
        <v>#NUM!</v>
      </c>
    </row>
    <row r="15" spans="1:20" x14ac:dyDescent="0.4">
      <c r="B15" s="12" t="s">
        <v>8</v>
      </c>
      <c r="C15" s="13"/>
      <c r="D15" s="74"/>
      <c r="E15" s="74"/>
      <c r="H15" s="18"/>
      <c r="I15" s="20"/>
      <c r="J15" s="5"/>
      <c r="M15" s="3">
        <f t="shared" si="0"/>
        <v>15</v>
      </c>
      <c r="N15" s="36" t="s">
        <v>9</v>
      </c>
      <c r="O15" s="44" t="s">
        <v>58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484</v>
      </c>
      <c r="C16" s="13"/>
      <c r="H16" s="22" t="s">
        <v>371</v>
      </c>
      <c r="I16" s="24"/>
      <c r="J16" s="25"/>
      <c r="M16" s="3">
        <f t="shared" si="0"/>
        <v>16</v>
      </c>
      <c r="N16" s="36" t="s">
        <v>616</v>
      </c>
      <c r="O16" s="44" t="s">
        <v>55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458</v>
      </c>
      <c r="H17" s="9" t="s">
        <v>368</v>
      </c>
      <c r="I17" s="11" t="s">
        <v>77</v>
      </c>
      <c r="J17" s="26" t="e">
        <f>$P$29*$P$8-$P$38</f>
        <v>#NUM!</v>
      </c>
      <c r="K17" s="26" t="e">
        <f>$C$117+$J$17</f>
        <v>#NUM!</v>
      </c>
      <c r="M17" s="3">
        <f t="shared" si="0"/>
        <v>17</v>
      </c>
      <c r="N17" s="36" t="s">
        <v>617</v>
      </c>
      <c r="O17" s="44" t="s">
        <v>8</v>
      </c>
      <c r="P17" s="2">
        <f>$C$15+($D$15+$E$15)/2</f>
        <v>0</v>
      </c>
      <c r="R17" s="10" t="s">
        <v>42</v>
      </c>
      <c r="S17" s="10" t="e">
        <f>P46-C115+S22/2-P195</f>
        <v>#NUM!</v>
      </c>
      <c r="T17" s="10" t="e">
        <f>$C$117+S17</f>
        <v>#NUM!</v>
      </c>
    </row>
    <row r="18" spans="1:20" x14ac:dyDescent="0.4">
      <c r="B18" s="22" t="s">
        <v>486</v>
      </c>
      <c r="C18" s="25"/>
      <c r="G18" s="3" t="s">
        <v>458</v>
      </c>
      <c r="H18" s="9" t="s">
        <v>482</v>
      </c>
      <c r="I18" s="11" t="s">
        <v>77</v>
      </c>
      <c r="J18" s="26" t="e">
        <f ca="1">$J$17-$P$61-$P$116/2-$C$19-$P$20+$P$18/2</f>
        <v>#NUM!</v>
      </c>
      <c r="K18" s="26" t="e">
        <f ca="1">$C$117+$J$18</f>
        <v>#NUM!</v>
      </c>
      <c r="M18" s="3">
        <f t="shared" si="0"/>
        <v>18</v>
      </c>
      <c r="O18" s="44" t="s">
        <v>618</v>
      </c>
      <c r="P18" s="2">
        <f>$C$27+($D$27+$E$27)/2</f>
        <v>0</v>
      </c>
      <c r="R18" s="10" t="s">
        <v>37</v>
      </c>
      <c r="S18" s="10" t="e">
        <f>-S12+C44</f>
        <v>#NUM!</v>
      </c>
      <c r="T18" s="10" t="e">
        <f>$C$117+S18</f>
        <v>#NUM!</v>
      </c>
    </row>
    <row r="19" spans="1:20" x14ac:dyDescent="0.4">
      <c r="A19" s="3" t="s">
        <v>131</v>
      </c>
      <c r="B19" s="12" t="s">
        <v>15</v>
      </c>
      <c r="C19" s="13"/>
      <c r="G19" s="3" t="s">
        <v>458</v>
      </c>
      <c r="H19" s="9" t="s">
        <v>483</v>
      </c>
      <c r="I19" s="11" t="s">
        <v>77</v>
      </c>
      <c r="J19" s="26" t="e">
        <f ca="1">$J$23+$C$44</f>
        <v>#NUM!</v>
      </c>
      <c r="K19" s="26" t="e">
        <f ca="1">$C$117+$J$23</f>
        <v>#NUM!</v>
      </c>
      <c r="M19" s="3">
        <f t="shared" si="0"/>
        <v>19</v>
      </c>
      <c r="O19" s="44" t="s">
        <v>619</v>
      </c>
      <c r="P19" s="2">
        <f>$C$28+($D$28+$E$28)/2</f>
        <v>0</v>
      </c>
      <c r="R19" s="10" t="s">
        <v>36</v>
      </c>
      <c r="S19" s="10" t="e">
        <f>P47-$J$106-$J$186/2+P197-P29</f>
        <v>#NUM!</v>
      </c>
      <c r="T19" s="10" t="e">
        <f>$C$117+S19</f>
        <v>#NUM!</v>
      </c>
    </row>
    <row r="20" spans="1:20" x14ac:dyDescent="0.4">
      <c r="B20" s="12" t="s">
        <v>132</v>
      </c>
      <c r="C20" s="34"/>
      <c r="D20" s="74"/>
      <c r="E20" s="74"/>
      <c r="G20" s="3" t="s">
        <v>460</v>
      </c>
      <c r="H20" s="9" t="s">
        <v>349</v>
      </c>
      <c r="I20" s="11" t="s">
        <v>77</v>
      </c>
      <c r="J20" s="26" t="e">
        <f>$P$29*$P$8-$P$34</f>
        <v>#NUM!</v>
      </c>
      <c r="K20" s="26" t="e">
        <f>$C$117+$J$20</f>
        <v>#NUM!</v>
      </c>
      <c r="M20" s="3">
        <f t="shared" si="0"/>
        <v>20</v>
      </c>
      <c r="O20" s="44" t="s">
        <v>620</v>
      </c>
      <c r="P20" s="2">
        <f>$C$26+($D$26+$E$26)/2</f>
        <v>0</v>
      </c>
      <c r="R20" s="10" t="s">
        <v>38</v>
      </c>
      <c r="S20" s="10" t="e">
        <f>S3-S16</f>
        <v>#NUM!</v>
      </c>
      <c r="T20" s="10" t="e">
        <f>C118+S20</f>
        <v>#NUM!</v>
      </c>
    </row>
    <row r="21" spans="1:20" x14ac:dyDescent="0.4">
      <c r="B21" s="86" t="s">
        <v>646</v>
      </c>
      <c r="C21" s="87">
        <v>0</v>
      </c>
      <c r="G21" s="3" t="s">
        <v>461</v>
      </c>
      <c r="H21" s="9" t="s">
        <v>369</v>
      </c>
      <c r="I21" s="11" t="s">
        <v>77</v>
      </c>
      <c r="J21" s="26" t="e">
        <f>$P$37-$P$29*$P$8</f>
        <v>#NUM!</v>
      </c>
      <c r="K21" s="26" t="e">
        <f>$C$117+$J$21</f>
        <v>#NUM!</v>
      </c>
      <c r="M21" s="3">
        <f t="shared" si="0"/>
        <v>21</v>
      </c>
      <c r="O21" s="44" t="s">
        <v>487</v>
      </c>
      <c r="P21" s="2">
        <f>$C$29+($D$29+$E$29)/2</f>
        <v>0</v>
      </c>
    </row>
    <row r="22" spans="1:20" x14ac:dyDescent="0.4">
      <c r="G22" s="3" t="s">
        <v>461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77</v>
      </c>
      <c r="J22" s="26" t="e">
        <f ca="1">-$J$18+$C$44</f>
        <v>#NUM!</v>
      </c>
      <c r="K22" s="26" t="e">
        <f ca="1">$C$117+$J$22</f>
        <v>#NUM!</v>
      </c>
      <c r="M22" s="3">
        <f t="shared" si="0"/>
        <v>22</v>
      </c>
      <c r="O22" s="44" t="s">
        <v>621</v>
      </c>
      <c r="P22" s="2">
        <f>$C$37+($D$37+$E$37)/2</f>
        <v>0</v>
      </c>
      <c r="R22" s="2"/>
      <c r="S22" s="1">
        <v>8.35</v>
      </c>
    </row>
    <row r="23" spans="1:20" ht="15" thickBot="1" x14ac:dyDescent="0.45">
      <c r="B23" s="83" t="s">
        <v>316</v>
      </c>
      <c r="C23" s="84"/>
      <c r="G23" s="3" t="s">
        <v>461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77</v>
      </c>
      <c r="J23" s="26" t="e">
        <f ca="1">$J$21+$P$64+$P$113/2+$C$19+$P$24-$P$22/2</f>
        <v>#NUM!</v>
      </c>
      <c r="K23" s="26" t="e">
        <f ca="1">$C$117+$J$23</f>
        <v>#NUM!</v>
      </c>
      <c r="M23" s="3">
        <f t="shared" si="0"/>
        <v>23</v>
      </c>
      <c r="O23" s="44" t="s">
        <v>622</v>
      </c>
      <c r="P23" s="2">
        <f>$C$38+($D$38+$E$38)/2</f>
        <v>0</v>
      </c>
      <c r="R23" s="2"/>
    </row>
    <row r="24" spans="1:20" ht="15" thickTop="1" x14ac:dyDescent="0.4">
      <c r="B24" s="80" t="s">
        <v>572</v>
      </c>
      <c r="C24" s="81"/>
      <c r="G24" s="3" t="s">
        <v>462</v>
      </c>
      <c r="H24" s="9" t="s">
        <v>350</v>
      </c>
      <c r="I24" s="11" t="s">
        <v>77</v>
      </c>
      <c r="J24" s="26" t="e">
        <f>$P$31-$P$29*$P$8</f>
        <v>#NUM!</v>
      </c>
      <c r="K24" s="26" t="e">
        <f>$C$117+$J$24</f>
        <v>#NUM!</v>
      </c>
      <c r="M24" s="3">
        <f t="shared" si="0"/>
        <v>24</v>
      </c>
      <c r="O24" s="44" t="s">
        <v>623</v>
      </c>
      <c r="P24" s="2">
        <f>$C$36+($D$36+$E$36)/2</f>
        <v>0</v>
      </c>
    </row>
    <row r="25" spans="1:20" x14ac:dyDescent="0.4">
      <c r="B25" s="12" t="s">
        <v>586</v>
      </c>
      <c r="C25" s="55"/>
      <c r="G25" s="3" t="s">
        <v>527</v>
      </c>
      <c r="H25" s="10" t="s">
        <v>569</v>
      </c>
      <c r="I25" s="26" t="s">
        <v>77</v>
      </c>
      <c r="J25" s="26" t="e">
        <f>$P$47-$P$57-$J$186/2-$P$29*$P$8</f>
        <v>#DIV/0!</v>
      </c>
      <c r="K25" s="26" t="e">
        <f>$C$117+$J$25</f>
        <v>#DIV/0!</v>
      </c>
      <c r="M25" s="3">
        <f t="shared" si="0"/>
        <v>25</v>
      </c>
      <c r="O25" s="44" t="s">
        <v>356</v>
      </c>
      <c r="P25" s="2">
        <f>$C$39+($D$39+$E$39)/2</f>
        <v>0</v>
      </c>
    </row>
    <row r="26" spans="1:20" x14ac:dyDescent="0.4">
      <c r="B26" s="12" t="s">
        <v>488</v>
      </c>
      <c r="C26" s="28"/>
      <c r="D26" s="74"/>
      <c r="E26" s="74"/>
      <c r="G26" s="3" t="s">
        <v>527</v>
      </c>
      <c r="H26" s="10" t="s">
        <v>551</v>
      </c>
      <c r="I26" s="26" t="s">
        <v>77</v>
      </c>
      <c r="J26" s="26" t="e">
        <f>$J$24+$P$45</f>
        <v>#NUM!</v>
      </c>
      <c r="K26" s="26" t="e">
        <f>$C$117+$J$26</f>
        <v>#NUM!</v>
      </c>
      <c r="M26" s="3">
        <f t="shared" si="0"/>
        <v>26</v>
      </c>
      <c r="N26" s="36" t="s">
        <v>97</v>
      </c>
      <c r="O26" s="44" t="s">
        <v>6</v>
      </c>
      <c r="P26" s="2">
        <f>$C$7-$P$16/2</f>
        <v>0</v>
      </c>
    </row>
    <row r="27" spans="1:20" x14ac:dyDescent="0.4">
      <c r="B27" s="12" t="s">
        <v>326</v>
      </c>
      <c r="C27" s="28"/>
      <c r="D27" s="74"/>
      <c r="E27" s="74"/>
      <c r="G27" s="3" t="s">
        <v>459</v>
      </c>
      <c r="H27" s="9" t="s">
        <v>8</v>
      </c>
      <c r="I27" s="11" t="s">
        <v>76</v>
      </c>
      <c r="J27" s="26">
        <f>$P$17</f>
        <v>0</v>
      </c>
      <c r="K27" s="43"/>
      <c r="M27" s="3">
        <f t="shared" si="0"/>
        <v>27</v>
      </c>
      <c r="N27" s="36" t="s">
        <v>98</v>
      </c>
      <c r="O27" s="44" t="s">
        <v>12</v>
      </c>
      <c r="P27" s="2">
        <f>$C$7+$P$16/2</f>
        <v>0</v>
      </c>
    </row>
    <row r="28" spans="1:20" x14ac:dyDescent="0.4">
      <c r="B28" s="12" t="s">
        <v>327</v>
      </c>
      <c r="C28" s="28"/>
      <c r="D28" s="74"/>
      <c r="E28" s="74"/>
      <c r="J28" s="5"/>
      <c r="K28" s="5"/>
      <c r="M28" s="3">
        <f t="shared" si="0"/>
        <v>28</v>
      </c>
      <c r="N28" s="36" t="s">
        <v>99</v>
      </c>
      <c r="O28" s="44" t="s">
        <v>276</v>
      </c>
      <c r="P28" s="2">
        <f>($J$5-$J$4)/2</f>
        <v>0</v>
      </c>
    </row>
    <row r="29" spans="1:20" x14ac:dyDescent="0.4">
      <c r="B29" s="12" t="s">
        <v>487</v>
      </c>
      <c r="C29" s="28"/>
      <c r="D29" s="74"/>
      <c r="E29" s="74"/>
      <c r="H29" s="22" t="s">
        <v>423</v>
      </c>
      <c r="I29" s="24"/>
      <c r="J29" s="25"/>
      <c r="M29" s="3">
        <f t="shared" si="0"/>
        <v>29</v>
      </c>
      <c r="N29" s="36" t="s">
        <v>59</v>
      </c>
      <c r="O29" s="44" t="s">
        <v>68</v>
      </c>
      <c r="P29" s="2" t="e">
        <f>$C$115+$P$13</f>
        <v>#NUM!</v>
      </c>
    </row>
    <row r="30" spans="1:20" x14ac:dyDescent="0.4">
      <c r="B30" s="12" t="s">
        <v>489</v>
      </c>
      <c r="C30" s="28"/>
      <c r="G30" s="3" t="s">
        <v>481</v>
      </c>
      <c r="H30" s="9" t="s">
        <v>372</v>
      </c>
      <c r="I30" s="11" t="s">
        <v>73</v>
      </c>
      <c r="J30" s="56">
        <f>IF(OR($C$23=0, AND($C$23=1, $C$43=2), AND($C$23=1, $C$25=1)), $C$147, $C$152)</f>
        <v>110001</v>
      </c>
      <c r="M30" s="3">
        <f t="shared" si="0"/>
        <v>30</v>
      </c>
      <c r="N30" s="36" t="s">
        <v>624</v>
      </c>
      <c r="O30" s="44" t="s">
        <v>62</v>
      </c>
      <c r="P30" s="2" t="e">
        <f>$P$28/$P$29</f>
        <v>#NUM!</v>
      </c>
    </row>
    <row r="31" spans="1:20" x14ac:dyDescent="0.4">
      <c r="B31" s="18"/>
      <c r="C31" s="18"/>
      <c r="G31" s="3" t="s">
        <v>77</v>
      </c>
      <c r="H31" s="9" t="s">
        <v>55</v>
      </c>
      <c r="I31" s="11" t="s">
        <v>77</v>
      </c>
      <c r="J31" s="26">
        <f>$P$16</f>
        <v>0</v>
      </c>
      <c r="M31" s="3">
        <f t="shared" si="0"/>
        <v>31</v>
      </c>
      <c r="N31" s="36" t="s">
        <v>100</v>
      </c>
      <c r="O31" s="44" t="s">
        <v>24</v>
      </c>
      <c r="P31" s="2">
        <f>SQRT($C$7^2-$J$4^2)</f>
        <v>0</v>
      </c>
    </row>
    <row r="32" spans="1:20" ht="15" thickBot="1" x14ac:dyDescent="0.45">
      <c r="B32" s="83" t="s">
        <v>317</v>
      </c>
      <c r="C32" s="84"/>
      <c r="G32" s="3" t="s">
        <v>77</v>
      </c>
      <c r="H32" s="9" t="s">
        <v>422</v>
      </c>
      <c r="I32" s="11" t="s">
        <v>77</v>
      </c>
      <c r="J32" s="26">
        <f>$P$18</f>
        <v>0</v>
      </c>
      <c r="M32" s="3">
        <f t="shared" si="0"/>
        <v>32</v>
      </c>
      <c r="N32" s="36" t="s">
        <v>101</v>
      </c>
      <c r="O32" s="44" t="s">
        <v>25</v>
      </c>
      <c r="P32" s="2">
        <f>SQRT($P$27^2-$J$4^2)</f>
        <v>0</v>
      </c>
    </row>
    <row r="33" spans="2:18" ht="15" thickTop="1" x14ac:dyDescent="0.4">
      <c r="B33" s="80" t="s">
        <v>590</v>
      </c>
      <c r="C33" s="81"/>
      <c r="G33" s="3" t="s">
        <v>468</v>
      </c>
      <c r="H33" s="9" t="s">
        <v>82</v>
      </c>
      <c r="I33" s="11" t="s">
        <v>77</v>
      </c>
      <c r="J33" s="26" t="e">
        <f ca="1">$P$116</f>
        <v>#REF!</v>
      </c>
      <c r="M33" s="3">
        <f t="shared" si="0"/>
        <v>33</v>
      </c>
      <c r="N33" s="36" t="s">
        <v>102</v>
      </c>
      <c r="O33" s="44" t="s">
        <v>26</v>
      </c>
      <c r="P33" s="2">
        <f>SQRT($P$26^2-$J$4^2)</f>
        <v>0</v>
      </c>
    </row>
    <row r="34" spans="2:18" x14ac:dyDescent="0.4">
      <c r="B34" s="12" t="s">
        <v>586</v>
      </c>
      <c r="C34" s="55"/>
      <c r="G34" s="3" t="s">
        <v>74</v>
      </c>
      <c r="H34" s="9" t="s">
        <v>421</v>
      </c>
      <c r="I34" s="11" t="s">
        <v>74</v>
      </c>
      <c r="J34" s="26" t="e">
        <f>$J$10</f>
        <v>#NUM!</v>
      </c>
      <c r="K34" s="26" t="e">
        <f>$C$118+$J$34</f>
        <v>#NUM!</v>
      </c>
      <c r="M34" s="3">
        <f t="shared" si="0"/>
        <v>34</v>
      </c>
      <c r="N34" s="36" t="s">
        <v>103</v>
      </c>
      <c r="O34" s="44" t="s">
        <v>27</v>
      </c>
      <c r="P34" s="2">
        <f>SQRT($C$7^2-$J$5^2)</f>
        <v>0</v>
      </c>
    </row>
    <row r="35" spans="2:18" x14ac:dyDescent="0.4">
      <c r="B35" s="12" t="s">
        <v>566</v>
      </c>
      <c r="C35" s="55"/>
      <c r="G35" s="3" t="s">
        <v>463</v>
      </c>
      <c r="H35" s="9" t="s">
        <v>420</v>
      </c>
      <c r="I35" s="11" t="s">
        <v>74</v>
      </c>
      <c r="J35" s="26">
        <f>$J$5</f>
        <v>0</v>
      </c>
      <c r="K35" s="43"/>
      <c r="M35" s="3">
        <f t="shared" si="0"/>
        <v>35</v>
      </c>
      <c r="N35" s="36" t="s">
        <v>104</v>
      </c>
      <c r="O35" s="44" t="s">
        <v>28</v>
      </c>
      <c r="P35" s="2">
        <f>SQRT($P$27^2-$J$5^2)</f>
        <v>0</v>
      </c>
      <c r="R35" s="2"/>
    </row>
    <row r="36" spans="2:18" x14ac:dyDescent="0.4">
      <c r="B36" s="12" t="s">
        <v>357</v>
      </c>
      <c r="C36" s="28"/>
      <c r="D36" s="74"/>
      <c r="E36" s="74"/>
      <c r="G36" s="3" t="s">
        <v>464</v>
      </c>
      <c r="H36" s="9" t="s">
        <v>424</v>
      </c>
      <c r="I36" s="11" t="s">
        <v>77</v>
      </c>
      <c r="J36" s="26">
        <f>$P$20</f>
        <v>0</v>
      </c>
      <c r="M36" s="3">
        <f t="shared" si="0"/>
        <v>36</v>
      </c>
      <c r="N36" s="36" t="s">
        <v>105</v>
      </c>
      <c r="O36" s="44" t="s">
        <v>29</v>
      </c>
      <c r="P36" s="2">
        <f>SQRT($P$26^2-$J$5^2)</f>
        <v>0</v>
      </c>
    </row>
    <row r="37" spans="2:18" x14ac:dyDescent="0.4">
      <c r="B37" s="12" t="s">
        <v>354</v>
      </c>
      <c r="C37" s="28"/>
      <c r="D37" s="74"/>
      <c r="E37" s="74"/>
      <c r="G37" s="3" t="s">
        <v>465</v>
      </c>
      <c r="H37" s="9" t="s">
        <v>425</v>
      </c>
      <c r="I37" s="11" t="s">
        <v>74</v>
      </c>
      <c r="J37" s="26" t="e" cm="1">
        <f t="array" ref="J37">_xlfn.IFS($C$77=1, $C$78, $C$81=1, $C$82)</f>
        <v>#N/A</v>
      </c>
      <c r="M37" s="3">
        <f t="shared" si="0"/>
        <v>37</v>
      </c>
      <c r="N37" s="36" t="s">
        <v>267</v>
      </c>
      <c r="O37" s="44" t="s">
        <v>65</v>
      </c>
      <c r="P37" s="2">
        <f>($P$32+$P$33)/2</f>
        <v>0</v>
      </c>
    </row>
    <row r="38" spans="2:18" x14ac:dyDescent="0.4">
      <c r="B38" s="12" t="s">
        <v>355</v>
      </c>
      <c r="C38" s="28"/>
      <c r="D38" s="74"/>
      <c r="E38" s="74"/>
      <c r="G38" s="3" t="s">
        <v>466</v>
      </c>
      <c r="H38" s="9" t="s">
        <v>4</v>
      </c>
      <c r="I38" s="11" t="s">
        <v>73</v>
      </c>
      <c r="J38" s="26">
        <f>$C$7</f>
        <v>0</v>
      </c>
      <c r="M38" s="3">
        <f t="shared" si="0"/>
        <v>38</v>
      </c>
      <c r="N38" s="36" t="s">
        <v>268</v>
      </c>
      <c r="O38" s="44" t="s">
        <v>64</v>
      </c>
      <c r="P38" s="2">
        <f>($P$35+$P$36)/2</f>
        <v>0</v>
      </c>
    </row>
    <row r="39" spans="2:18" x14ac:dyDescent="0.4">
      <c r="B39" s="12" t="s">
        <v>356</v>
      </c>
      <c r="C39" s="28"/>
      <c r="D39" s="74"/>
      <c r="E39" s="74"/>
      <c r="G39" s="3" t="s">
        <v>467</v>
      </c>
      <c r="H39" s="9" t="s">
        <v>426</v>
      </c>
      <c r="I39" s="11" t="s">
        <v>73</v>
      </c>
      <c r="J39" s="26">
        <f>$C$19</f>
        <v>0</v>
      </c>
      <c r="K39" s="5"/>
      <c r="M39" s="3">
        <f t="shared" si="0"/>
        <v>39</v>
      </c>
      <c r="N39" s="36" t="s">
        <v>106</v>
      </c>
      <c r="O39" s="44" t="s">
        <v>63</v>
      </c>
      <c r="P39" s="2">
        <f>$J$195+$J$196/2</f>
        <v>0</v>
      </c>
    </row>
    <row r="40" spans="2:18" x14ac:dyDescent="0.4">
      <c r="B40" s="12" t="s">
        <v>353</v>
      </c>
      <c r="C40" s="28"/>
      <c r="J40" s="5"/>
      <c r="K40" s="5"/>
      <c r="M40" s="3">
        <f t="shared" si="0"/>
        <v>40</v>
      </c>
      <c r="N40" s="36" t="s">
        <v>107</v>
      </c>
      <c r="O40" s="44" t="s">
        <v>34</v>
      </c>
      <c r="P40" s="2">
        <f>$J$4-$P$39</f>
        <v>0</v>
      </c>
    </row>
    <row r="41" spans="2:18" x14ac:dyDescent="0.4">
      <c r="H41" s="4" t="s">
        <v>429</v>
      </c>
      <c r="I41" s="6"/>
      <c r="J41" s="5"/>
      <c r="M41" s="3">
        <f t="shared" si="0"/>
        <v>41</v>
      </c>
      <c r="N41" s="36" t="s">
        <v>293</v>
      </c>
      <c r="O41" s="44" t="s">
        <v>295</v>
      </c>
      <c r="P41" s="2">
        <f>$J$195+$J$196</f>
        <v>0</v>
      </c>
    </row>
    <row r="42" spans="2:18" x14ac:dyDescent="0.4">
      <c r="B42" s="4" t="s">
        <v>71</v>
      </c>
      <c r="F42" s="14"/>
      <c r="G42" s="3" t="s">
        <v>481</v>
      </c>
      <c r="H42" s="9" t="s">
        <v>372</v>
      </c>
      <c r="I42" s="11" t="s">
        <v>73</v>
      </c>
      <c r="J42" s="56">
        <f>IF($C$23&lt;&gt;1, $C$148, "")</f>
        <v>110002</v>
      </c>
      <c r="M42" s="3">
        <f t="shared" si="0"/>
        <v>42</v>
      </c>
      <c r="N42" s="36" t="s">
        <v>294</v>
      </c>
      <c r="O42" s="44" t="s">
        <v>298</v>
      </c>
      <c r="P42" s="2">
        <f>$J$4-$P$41</f>
        <v>0</v>
      </c>
    </row>
    <row r="43" spans="2:18" x14ac:dyDescent="0.4">
      <c r="B43" s="12" t="s">
        <v>334</v>
      </c>
      <c r="C43" s="50"/>
      <c r="F43" s="14"/>
      <c r="G43" s="3" t="s">
        <v>76</v>
      </c>
      <c r="H43" s="9" t="s">
        <v>8</v>
      </c>
      <c r="I43" s="11" t="s">
        <v>76</v>
      </c>
      <c r="J43" s="26">
        <f>$P$17</f>
        <v>0</v>
      </c>
      <c r="M43" s="3">
        <f t="shared" si="0"/>
        <v>43</v>
      </c>
      <c r="N43" s="36" t="s">
        <v>297</v>
      </c>
      <c r="O43" s="44" t="s">
        <v>299</v>
      </c>
      <c r="P43" s="2">
        <f>$J$4-$J$195</f>
        <v>0</v>
      </c>
    </row>
    <row r="44" spans="2:18" x14ac:dyDescent="0.4">
      <c r="B44" s="12" t="s">
        <v>524</v>
      </c>
      <c r="C44" s="28"/>
      <c r="D44" s="74"/>
      <c r="E44" s="74"/>
      <c r="G44" s="3" t="s">
        <v>74</v>
      </c>
      <c r="H44" s="9" t="s">
        <v>421</v>
      </c>
      <c r="I44" s="11" t="s">
        <v>74</v>
      </c>
      <c r="J44" s="26" t="e">
        <f>$J$10</f>
        <v>#NUM!</v>
      </c>
      <c r="K44" s="26" t="e">
        <f>$C$118+$J$44</f>
        <v>#NUM!</v>
      </c>
      <c r="M44" s="3">
        <f t="shared" si="0"/>
        <v>44</v>
      </c>
      <c r="N44" s="36" t="s">
        <v>546</v>
      </c>
      <c r="O44" s="44" t="s">
        <v>549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6" t="s">
        <v>548</v>
      </c>
      <c r="O45" s="44" t="s">
        <v>547</v>
      </c>
      <c r="P45" s="2">
        <f>$P$46-$P$31</f>
        <v>0</v>
      </c>
    </row>
    <row r="46" spans="2:18" x14ac:dyDescent="0.4">
      <c r="B46" s="22" t="s">
        <v>70</v>
      </c>
      <c r="C46" s="51"/>
      <c r="F46" s="2"/>
      <c r="H46" s="4" t="s">
        <v>430</v>
      </c>
      <c r="I46" s="6"/>
      <c r="J46" s="5"/>
      <c r="M46" s="3">
        <f t="shared" si="0"/>
        <v>46</v>
      </c>
      <c r="N46" s="36" t="s">
        <v>269</v>
      </c>
      <c r="O46" s="44" t="s">
        <v>35</v>
      </c>
      <c r="P46" s="2">
        <f>SQRT($C$7^2-$P$40^2)</f>
        <v>0</v>
      </c>
    </row>
    <row r="47" spans="2:18" x14ac:dyDescent="0.4">
      <c r="B47" s="12" t="s">
        <v>570</v>
      </c>
      <c r="C47" s="51"/>
      <c r="F47" s="2"/>
      <c r="G47" s="3" t="s">
        <v>481</v>
      </c>
      <c r="H47" s="9" t="s">
        <v>372</v>
      </c>
      <c r="I47" s="11" t="s">
        <v>73</v>
      </c>
      <c r="J47" s="56" t="str">
        <f>IF(OR($C$77&lt;&gt;0, $C$81&lt;&gt;0), $C$150, "")</f>
        <v/>
      </c>
      <c r="M47" s="3">
        <f t="shared" si="0"/>
        <v>47</v>
      </c>
      <c r="N47" s="36" t="s">
        <v>270</v>
      </c>
      <c r="O47" s="44" t="s">
        <v>66</v>
      </c>
      <c r="P47" s="2">
        <f>SQRT($P$27^2-$P$40^2)</f>
        <v>0</v>
      </c>
    </row>
    <row r="48" spans="2:18" x14ac:dyDescent="0.4">
      <c r="B48" s="12" t="s">
        <v>32</v>
      </c>
      <c r="C48" s="13"/>
      <c r="D48" s="74"/>
      <c r="E48" s="74"/>
      <c r="F48" s="2"/>
      <c r="G48" s="3" t="s">
        <v>77</v>
      </c>
      <c r="H48" s="9" t="s">
        <v>82</v>
      </c>
      <c r="I48" s="11" t="s">
        <v>77</v>
      </c>
      <c r="J48" s="26" t="e">
        <f ca="1">INDEX(INDIRECT($P$2&amp;"!B:B"), MATCH(ROUND($J$4+$J$5, 0), INDIRECT($P$2&amp;"!A:A"), 0))</f>
        <v>#REF!</v>
      </c>
      <c r="M48" s="3">
        <f t="shared" si="0"/>
        <v>48</v>
      </c>
      <c r="N48" s="36" t="s">
        <v>271</v>
      </c>
      <c r="O48" s="44" t="s">
        <v>67</v>
      </c>
      <c r="P48" s="2">
        <f>SQRT($P$26^2-$P$40^2)</f>
        <v>0</v>
      </c>
    </row>
    <row r="49" spans="1:16" x14ac:dyDescent="0.4">
      <c r="B49" s="12" t="s">
        <v>456</v>
      </c>
      <c r="C49" s="13"/>
      <c r="D49" s="74"/>
      <c r="E49" s="74"/>
      <c r="G49" s="3" t="s">
        <v>74</v>
      </c>
      <c r="H49" s="9" t="s">
        <v>421</v>
      </c>
      <c r="I49" s="11" t="s">
        <v>74</v>
      </c>
      <c r="J49" s="26" t="e">
        <f>$J$10</f>
        <v>#NUM!</v>
      </c>
      <c r="K49" s="26" t="e">
        <f>$C$118+$J$49</f>
        <v>#NUM!</v>
      </c>
      <c r="M49" s="3">
        <f t="shared" si="0"/>
        <v>49</v>
      </c>
      <c r="N49" s="36" t="s">
        <v>291</v>
      </c>
      <c r="O49" s="44" t="s">
        <v>292</v>
      </c>
      <c r="P49" s="2">
        <f>SQRT($P$27^2-$P$42^2)</f>
        <v>0</v>
      </c>
    </row>
    <row r="50" spans="1:16" x14ac:dyDescent="0.4">
      <c r="A50" s="3" t="s">
        <v>300</v>
      </c>
      <c r="B50" s="12" t="s">
        <v>30</v>
      </c>
      <c r="C50" s="13"/>
      <c r="D50" s="74"/>
      <c r="E50" s="74"/>
      <c r="G50" s="3" t="s">
        <v>463</v>
      </c>
      <c r="H50" s="9" t="s">
        <v>420</v>
      </c>
      <c r="I50" s="11" t="s">
        <v>74</v>
      </c>
      <c r="J50" s="26">
        <f>$J$5</f>
        <v>0</v>
      </c>
      <c r="K50" s="26">
        <f>$C$118+$J$50</f>
        <v>-1149.9739999999999</v>
      </c>
      <c r="M50" s="3">
        <f t="shared" si="0"/>
        <v>50</v>
      </c>
      <c r="N50" s="36" t="s">
        <v>296</v>
      </c>
      <c r="O50" s="44" t="s">
        <v>314</v>
      </c>
      <c r="P50" s="2">
        <f>SQRT($P$27^2-$P$43^2)</f>
        <v>0</v>
      </c>
    </row>
    <row r="51" spans="1:16" x14ac:dyDescent="0.4">
      <c r="A51" s="3" t="s">
        <v>301</v>
      </c>
      <c r="B51" s="12" t="s">
        <v>31</v>
      </c>
      <c r="C51" s="13"/>
      <c r="D51" s="74"/>
      <c r="E51" s="74"/>
      <c r="G51" s="3" t="s">
        <v>466</v>
      </c>
      <c r="H51" s="9" t="s">
        <v>4</v>
      </c>
      <c r="I51" s="11" t="s">
        <v>73</v>
      </c>
      <c r="J51" s="26">
        <f>$C$7</f>
        <v>0</v>
      </c>
      <c r="M51" s="3">
        <f t="shared" si="0"/>
        <v>51</v>
      </c>
      <c r="N51" s="36" t="s">
        <v>302</v>
      </c>
      <c r="O51" s="44" t="s">
        <v>304</v>
      </c>
      <c r="P51" s="2" t="e">
        <f>($P$49-$P$50)/$J$196</f>
        <v>#DIV/0!</v>
      </c>
    </row>
    <row r="52" spans="1:16" x14ac:dyDescent="0.4">
      <c r="A52" s="3" t="s">
        <v>311</v>
      </c>
      <c r="B52" s="12" t="s">
        <v>571</v>
      </c>
      <c r="C52" s="28"/>
      <c r="D52" s="74"/>
      <c r="E52" s="74"/>
      <c r="G52" s="3" t="s">
        <v>467</v>
      </c>
      <c r="H52" s="9" t="s">
        <v>426</v>
      </c>
      <c r="I52" s="11" t="s">
        <v>73</v>
      </c>
      <c r="J52" s="26">
        <f>$C$19</f>
        <v>0</v>
      </c>
      <c r="K52" s="5"/>
      <c r="M52" s="3">
        <f t="shared" si="0"/>
        <v>52</v>
      </c>
      <c r="N52" s="36" t="s">
        <v>303</v>
      </c>
      <c r="O52" s="44" t="s">
        <v>305</v>
      </c>
      <c r="P52" s="2" t="e">
        <f>SIN(ATAN($P$51))</f>
        <v>#DIV/0!</v>
      </c>
    </row>
    <row r="53" spans="1:16" x14ac:dyDescent="0.4">
      <c r="B53" s="12" t="s">
        <v>642</v>
      </c>
      <c r="C53" s="28"/>
      <c r="J53" s="5"/>
      <c r="K53" s="5"/>
      <c r="M53" s="3">
        <f t="shared" si="0"/>
        <v>53</v>
      </c>
      <c r="N53" s="36" t="s">
        <v>306</v>
      </c>
      <c r="O53" s="44" t="s">
        <v>307</v>
      </c>
      <c r="P53" s="2" t="e">
        <f>COS(ATAN($P$51))</f>
        <v>#DIV/0!</v>
      </c>
    </row>
    <row r="54" spans="1:16" x14ac:dyDescent="0.4">
      <c r="B54" s="12" t="s">
        <v>644</v>
      </c>
      <c r="C54" s="28"/>
      <c r="H54" s="4" t="s">
        <v>431</v>
      </c>
      <c r="I54" s="6"/>
      <c r="J54" s="5"/>
      <c r="M54" s="3">
        <f t="shared" si="0"/>
        <v>54</v>
      </c>
      <c r="N54" s="36" t="s">
        <v>313</v>
      </c>
      <c r="P54" s="2" t="e">
        <f>2*$P$53/(1+$P$53^2)</f>
        <v>#DIV/0!</v>
      </c>
    </row>
    <row r="55" spans="1:16" x14ac:dyDescent="0.4">
      <c r="B55" s="12" t="s">
        <v>643</v>
      </c>
      <c r="C55" s="28"/>
      <c r="G55" s="3" t="s">
        <v>481</v>
      </c>
      <c r="H55" s="9" t="s">
        <v>372</v>
      </c>
      <c r="I55" s="11" t="s">
        <v>73</v>
      </c>
      <c r="J55" s="56" t="str">
        <f>IF(OR($C$77&lt;&gt;0, $C$81&lt;&gt;0), $C$151, "")</f>
        <v/>
      </c>
      <c r="M55" s="3">
        <f>ROW(M55)</f>
        <v>55</v>
      </c>
      <c r="N55" s="36" t="s">
        <v>308</v>
      </c>
      <c r="O55" s="44" t="s">
        <v>315</v>
      </c>
      <c r="P55" s="2">
        <f>$P$47-$P$50</f>
        <v>0</v>
      </c>
    </row>
    <row r="56" spans="1:16" x14ac:dyDescent="0.4">
      <c r="B56" s="12" t="s">
        <v>645</v>
      </c>
      <c r="C56" s="28"/>
      <c r="G56" s="3" t="s">
        <v>76</v>
      </c>
      <c r="H56" s="9" t="s">
        <v>432</v>
      </c>
      <c r="I56" s="11" t="s">
        <v>76</v>
      </c>
      <c r="J56" s="26" t="e">
        <f ca="1">$P$117</f>
        <v>#REF!</v>
      </c>
      <c r="M56" s="3">
        <f t="shared" si="0"/>
        <v>56</v>
      </c>
      <c r="N56" s="36" t="s">
        <v>309</v>
      </c>
      <c r="P56" s="2" t="e">
        <f>$J$196*$P$52/2</f>
        <v>#DIV/0!</v>
      </c>
    </row>
    <row r="57" spans="1:16" x14ac:dyDescent="0.4">
      <c r="B57" s="12" t="s">
        <v>335</v>
      </c>
      <c r="C57" s="85"/>
      <c r="G57" s="3" t="s">
        <v>74</v>
      </c>
      <c r="H57" s="9" t="s">
        <v>421</v>
      </c>
      <c r="I57" s="11" t="s">
        <v>74</v>
      </c>
      <c r="J57" s="26" t="e">
        <f>$J$10</f>
        <v>#NUM!</v>
      </c>
      <c r="K57" s="26" t="e">
        <f>$C$118+$J$57</f>
        <v>#NUM!</v>
      </c>
      <c r="M57" s="3">
        <f t="shared" si="0"/>
        <v>57</v>
      </c>
      <c r="N57" s="36" t="s">
        <v>310</v>
      </c>
      <c r="O57" s="44" t="s">
        <v>312</v>
      </c>
      <c r="P57" s="2" t="e">
        <f>$P$54*($J$106-$P$56)+$P$55</f>
        <v>#DIV/0!</v>
      </c>
    </row>
    <row r="58" spans="1:16" x14ac:dyDescent="0.4">
      <c r="B58" s="12" t="s">
        <v>336</v>
      </c>
      <c r="C58" s="13"/>
      <c r="G58" s="3" t="s">
        <v>467</v>
      </c>
      <c r="H58" s="9" t="s">
        <v>426</v>
      </c>
      <c r="I58" s="11" t="s">
        <v>73</v>
      </c>
      <c r="J58" s="26">
        <f>$C$19</f>
        <v>0</v>
      </c>
      <c r="K58" s="5"/>
      <c r="M58" s="3">
        <f t="shared" si="0"/>
        <v>58</v>
      </c>
      <c r="N58" s="36" t="s">
        <v>657</v>
      </c>
      <c r="O58" s="44" t="s">
        <v>658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6" t="s">
        <v>636</v>
      </c>
      <c r="O59" s="44" t="s">
        <v>277</v>
      </c>
      <c r="P59" s="2">
        <f>$J$5-$C$78</f>
        <v>0</v>
      </c>
    </row>
    <row r="60" spans="1:16" x14ac:dyDescent="0.4">
      <c r="B60" s="22" t="s">
        <v>381</v>
      </c>
      <c r="C60" s="70"/>
      <c r="H60" s="69" t="s">
        <v>555</v>
      </c>
      <c r="I60" s="11"/>
      <c r="J60" s="26" t="s">
        <v>556</v>
      </c>
      <c r="K60" s="26" t="s">
        <v>557</v>
      </c>
      <c r="M60" s="3">
        <f t="shared" si="0"/>
        <v>60</v>
      </c>
      <c r="N60" s="36" t="s">
        <v>637</v>
      </c>
      <c r="O60" s="44" t="s">
        <v>278</v>
      </c>
      <c r="P60" s="2">
        <f>SQRT($C$7^2-$P$59^2)</f>
        <v>0</v>
      </c>
    </row>
    <row r="61" spans="1:16" x14ac:dyDescent="0.4">
      <c r="A61" s="3" t="s">
        <v>81</v>
      </c>
      <c r="B61" s="12" t="s">
        <v>384</v>
      </c>
      <c r="C61" s="13"/>
      <c r="J61" s="5"/>
      <c r="K61" s="5"/>
      <c r="M61" s="3">
        <f t="shared" si="0"/>
        <v>61</v>
      </c>
      <c r="N61" s="36" t="s">
        <v>638</v>
      </c>
      <c r="P61" s="2">
        <f>P60-P34</f>
        <v>0</v>
      </c>
    </row>
    <row r="62" spans="1:16" x14ac:dyDescent="0.4">
      <c r="A62" s="3" t="s">
        <v>108</v>
      </c>
      <c r="B62" s="12" t="s">
        <v>385</v>
      </c>
      <c r="C62" s="13"/>
      <c r="H62" s="4" t="s">
        <v>433</v>
      </c>
      <c r="I62" s="6"/>
      <c r="J62" s="5"/>
      <c r="M62" s="3">
        <f t="shared" si="0"/>
        <v>62</v>
      </c>
      <c r="N62" s="36" t="s">
        <v>639</v>
      </c>
      <c r="O62" s="44" t="s">
        <v>552</v>
      </c>
      <c r="P62" s="2">
        <f>$J$4-$C$92</f>
        <v>0</v>
      </c>
    </row>
    <row r="63" spans="1:16" x14ac:dyDescent="0.4">
      <c r="A63" s="3" t="s">
        <v>109</v>
      </c>
      <c r="B63" s="12" t="s">
        <v>386</v>
      </c>
      <c r="C63" s="13"/>
      <c r="G63" s="3" t="s">
        <v>481</v>
      </c>
      <c r="H63" s="9" t="s">
        <v>372</v>
      </c>
      <c r="I63" s="11" t="s">
        <v>73</v>
      </c>
      <c r="J63" s="56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6" t="s">
        <v>640</v>
      </c>
      <c r="O63" s="44" t="s">
        <v>553</v>
      </c>
      <c r="P63" s="2">
        <f>SQRT($C$7^2-$P$62^2)</f>
        <v>0</v>
      </c>
    </row>
    <row r="64" spans="1:16" x14ac:dyDescent="0.4">
      <c r="A64" s="3" t="s">
        <v>207</v>
      </c>
      <c r="B64" s="12" t="s">
        <v>388</v>
      </c>
      <c r="C64" s="13"/>
      <c r="G64" s="3" t="s">
        <v>77</v>
      </c>
      <c r="H64" s="9" t="s">
        <v>55</v>
      </c>
      <c r="I64" s="11" t="s">
        <v>77</v>
      </c>
      <c r="J64" s="26">
        <f>$P$16</f>
        <v>0</v>
      </c>
      <c r="M64" s="3">
        <f t="shared" si="0"/>
        <v>64</v>
      </c>
      <c r="N64" s="36" t="s">
        <v>641</v>
      </c>
      <c r="P64" s="2">
        <f>P63-P31</f>
        <v>0</v>
      </c>
    </row>
    <row r="65" spans="1:16" x14ac:dyDescent="0.4">
      <c r="A65" s="3" t="s">
        <v>208</v>
      </c>
      <c r="B65" s="12" t="s">
        <v>389</v>
      </c>
      <c r="C65" s="13"/>
      <c r="G65" s="3" t="s">
        <v>77</v>
      </c>
      <c r="H65" s="9" t="s">
        <v>434</v>
      </c>
      <c r="I65" s="11" t="s">
        <v>77</v>
      </c>
      <c r="J65" s="26">
        <f>$P$22</f>
        <v>0</v>
      </c>
      <c r="M65" s="3">
        <f t="shared" si="0"/>
        <v>65</v>
      </c>
      <c r="N65" s="36" t="s">
        <v>110</v>
      </c>
      <c r="O65" s="44" t="str">
        <f>IF($C$66&gt;=3, "振分中心-ディンプル1列目間距離", "-")</f>
        <v>-</v>
      </c>
      <c r="P65" s="35">
        <f>$J$4-$C$61</f>
        <v>0</v>
      </c>
    </row>
    <row r="66" spans="1:16" x14ac:dyDescent="0.4">
      <c r="A66" s="3" t="s">
        <v>85</v>
      </c>
      <c r="B66" s="12" t="s">
        <v>390</v>
      </c>
      <c r="C66" s="50"/>
      <c r="G66" s="3" t="s">
        <v>468</v>
      </c>
      <c r="H66" s="9" t="s">
        <v>80</v>
      </c>
      <c r="I66" s="11" t="s">
        <v>77</v>
      </c>
      <c r="J66" s="26" t="e">
        <f ca="1">$P$113</f>
        <v>#REF!</v>
      </c>
      <c r="L66" s="3"/>
      <c r="M66" s="3">
        <f t="shared" si="0"/>
        <v>66</v>
      </c>
      <c r="N66" s="36" t="s">
        <v>138</v>
      </c>
      <c r="O66" s="44" t="str">
        <f>IF($C$66&gt;=4, "振分中心-ディンプル2列目間距離", "-")</f>
        <v>-</v>
      </c>
      <c r="P66" s="35" t="str">
        <f>IF($C$66&gt;=4,$P$65-1*$C$62, "-")</f>
        <v>-</v>
      </c>
    </row>
    <row r="67" spans="1:16" x14ac:dyDescent="0.4">
      <c r="B67" s="12" t="s">
        <v>391</v>
      </c>
      <c r="C67" s="52"/>
      <c r="G67" s="3" t="s">
        <v>74</v>
      </c>
      <c r="H67" s="9" t="s">
        <v>435</v>
      </c>
      <c r="I67" s="11" t="s">
        <v>74</v>
      </c>
      <c r="J67" s="26" t="e">
        <f>$J$9</f>
        <v>#NUM!</v>
      </c>
      <c r="K67" s="26" t="e">
        <f>$C$118+$J$67</f>
        <v>#NUM!</v>
      </c>
      <c r="M67" s="3">
        <f t="shared" si="0"/>
        <v>67</v>
      </c>
      <c r="N67" s="36" t="s">
        <v>139</v>
      </c>
      <c r="O67" s="44" t="str">
        <f>IF($C$66&gt;=5, "振分中心-ディンプル3列目間距離", "-")</f>
        <v>-</v>
      </c>
      <c r="P67" s="35" t="str">
        <f>IF($C$66&gt;=5,$P$65-2*$C$62, "-")</f>
        <v>-</v>
      </c>
    </row>
    <row r="68" spans="1:16" x14ac:dyDescent="0.4">
      <c r="B68" s="12" t="s">
        <v>450</v>
      </c>
      <c r="C68" s="58"/>
      <c r="G68" s="3" t="s">
        <v>463</v>
      </c>
      <c r="H68" s="9" t="s">
        <v>436</v>
      </c>
      <c r="I68" s="11" t="s">
        <v>74</v>
      </c>
      <c r="J68" s="26">
        <f>$J$4</f>
        <v>0</v>
      </c>
      <c r="K68" s="43"/>
      <c r="M68" s="3">
        <f t="shared" si="0"/>
        <v>68</v>
      </c>
      <c r="N68" s="36" t="s">
        <v>140</v>
      </c>
      <c r="O68" s="44" t="str">
        <f>IF($C$66&gt;=6, "振分中心-ディンプル4列目間距離", "-")</f>
        <v>-</v>
      </c>
      <c r="P68" s="35" t="str">
        <f>IF($C$66&gt;=6,$P$65-3*$C$62, "-")</f>
        <v>-</v>
      </c>
    </row>
    <row r="69" spans="1:16" x14ac:dyDescent="0.4">
      <c r="B69" s="18"/>
      <c r="C69" s="19"/>
      <c r="G69" s="3" t="s">
        <v>464</v>
      </c>
      <c r="H69" s="9" t="s">
        <v>437</v>
      </c>
      <c r="I69" s="11" t="s">
        <v>77</v>
      </c>
      <c r="J69" s="26">
        <f>$P$24</f>
        <v>0</v>
      </c>
      <c r="M69" s="3">
        <f t="shared" si="0"/>
        <v>69</v>
      </c>
      <c r="N69" s="36" t="s">
        <v>142</v>
      </c>
      <c r="O69" s="44" t="str">
        <f>IF($C$66&gt;=7, "振分中心-ディンプル5列目間距離", "-")</f>
        <v>-</v>
      </c>
      <c r="P69" s="35" t="str">
        <f>IF($C$66&gt;=7,$P$65-4*$C$62, "-")</f>
        <v>-</v>
      </c>
    </row>
    <row r="70" spans="1:16" x14ac:dyDescent="0.4">
      <c r="B70" s="4" t="s">
        <v>328</v>
      </c>
      <c r="C70" s="51"/>
      <c r="G70" s="3" t="s">
        <v>465</v>
      </c>
      <c r="H70" s="9" t="s">
        <v>438</v>
      </c>
      <c r="I70" s="11" t="s">
        <v>74</v>
      </c>
      <c r="J70" s="26" t="e" cm="1">
        <f t="array" ref="J70">_xlfn.IFS($C$91=1, $C$92, $C$95=1, $C$96)</f>
        <v>#N/A</v>
      </c>
      <c r="M70" s="3">
        <f t="shared" si="0"/>
        <v>70</v>
      </c>
      <c r="N70" s="36" t="s">
        <v>141</v>
      </c>
      <c r="O70" s="44" t="str">
        <f>IF($C$66&gt;=8, "振分中心-ディンプル6列目間距離", "-")</f>
        <v>-</v>
      </c>
      <c r="P70" s="35" t="str">
        <f>IF($C$66&gt;=8,$P$65-5*$C$62, "-")</f>
        <v>-</v>
      </c>
    </row>
    <row r="71" spans="1:16" x14ac:dyDescent="0.4">
      <c r="B71" s="12" t="s">
        <v>338</v>
      </c>
      <c r="C71" s="13"/>
      <c r="G71" s="3" t="s">
        <v>466</v>
      </c>
      <c r="H71" s="9" t="s">
        <v>4</v>
      </c>
      <c r="I71" s="11" t="s">
        <v>73</v>
      </c>
      <c r="J71" s="26">
        <f>$C$7</f>
        <v>0</v>
      </c>
      <c r="M71" s="3">
        <f t="shared" si="0"/>
        <v>71</v>
      </c>
      <c r="N71" s="36" t="s">
        <v>114</v>
      </c>
      <c r="O71" s="44" t="s">
        <v>393</v>
      </c>
      <c r="P71" s="35">
        <f>$P$65-($C$66-2)*$C$62</f>
        <v>0</v>
      </c>
    </row>
    <row r="72" spans="1:16" x14ac:dyDescent="0.4">
      <c r="B72" s="12" t="s">
        <v>339</v>
      </c>
      <c r="C72" s="51"/>
      <c r="G72" s="3" t="s">
        <v>467</v>
      </c>
      <c r="H72" s="9" t="s">
        <v>30</v>
      </c>
      <c r="I72" s="11" t="s">
        <v>74</v>
      </c>
      <c r="J72" s="26">
        <f>$J$195</f>
        <v>0</v>
      </c>
      <c r="K72" s="59"/>
      <c r="M72" s="3">
        <f t="shared" si="0"/>
        <v>72</v>
      </c>
      <c r="N72" s="36" t="s">
        <v>113</v>
      </c>
      <c r="O72" s="44" t="s">
        <v>394</v>
      </c>
      <c r="P72" s="35">
        <f>$P$65-($C$66-1)*$C$62</f>
        <v>0</v>
      </c>
    </row>
    <row r="73" spans="1:16" x14ac:dyDescent="0.4">
      <c r="G73" s="3" t="s">
        <v>491</v>
      </c>
      <c r="H73" s="9" t="s">
        <v>31</v>
      </c>
      <c r="I73" s="11" t="s">
        <v>74</v>
      </c>
      <c r="J73" s="26">
        <f>$J$196</f>
        <v>0</v>
      </c>
      <c r="K73" s="59"/>
      <c r="M73" s="3">
        <f t="shared" si="0"/>
        <v>73</v>
      </c>
      <c r="N73" s="36" t="s">
        <v>111</v>
      </c>
      <c r="O73" s="44" t="str">
        <f>IF($C$66&gt;=3,"λj ≦ q &lt; λj+1 の λj", "-")</f>
        <v>-</v>
      </c>
      <c r="P73" s="35" t="str">
        <f ca="1">IF($C$66&gt;=3,LOOKUP($C$61,INDIRECT($P$2&amp;"!$A:$A")),"-")</f>
        <v>-</v>
      </c>
    </row>
    <row r="74" spans="1:16" x14ac:dyDescent="0.4">
      <c r="B74" s="4" t="s">
        <v>337</v>
      </c>
      <c r="C74" s="51"/>
      <c r="G74" s="3" t="s">
        <v>467</v>
      </c>
      <c r="H74" s="9" t="s">
        <v>426</v>
      </c>
      <c r="I74" s="11" t="s">
        <v>73</v>
      </c>
      <c r="J74" s="41">
        <f>$C$19</f>
        <v>0</v>
      </c>
      <c r="K74" s="5"/>
      <c r="M74" s="3">
        <f t="shared" si="0"/>
        <v>74</v>
      </c>
      <c r="N74" s="36" t="s">
        <v>143</v>
      </c>
      <c r="O74" s="44" t="str">
        <f>IF($C$66&gt;=4,"λj ≦ q+pz &lt; λj+1 の λj", "-")</f>
        <v>-</v>
      </c>
      <c r="P74" s="35" t="str">
        <f ca="1">IF($C$66&gt;=4,LOOKUP($C$61+$C$62, INDIRECT($P$2&amp;"!$A:$A")),"-")</f>
        <v>-</v>
      </c>
    </row>
    <row r="75" spans="1:16" x14ac:dyDescent="0.4">
      <c r="B75" s="12" t="s">
        <v>341</v>
      </c>
      <c r="C75" s="13"/>
      <c r="H75" s="69" t="s">
        <v>554</v>
      </c>
      <c r="I75" s="11" t="s">
        <v>77</v>
      </c>
      <c r="J75" s="26" t="s">
        <v>558</v>
      </c>
      <c r="K75" s="26" t="s">
        <v>560</v>
      </c>
      <c r="M75" s="3">
        <f t="shared" si="0"/>
        <v>75</v>
      </c>
      <c r="N75" s="36" t="s">
        <v>145</v>
      </c>
      <c r="O75" s="44" t="str">
        <f>IF($C$66&gt;=5,"λj ≦ q+2pz &lt; λj+1 の λj", "-")</f>
        <v>-</v>
      </c>
      <c r="P75" s="35" t="str">
        <f ca="1">IF($C$66&gt;=5,LOOKUP($C$61+2*$C$62, INDIRECT($P$2&amp;"!$A:$A")),"-")</f>
        <v>-</v>
      </c>
    </row>
    <row r="76" spans="1:16" x14ac:dyDescent="0.4">
      <c r="H76" s="9" t="s">
        <v>561</v>
      </c>
      <c r="I76" s="11" t="s">
        <v>77</v>
      </c>
      <c r="J76" s="31">
        <f>$C$44</f>
        <v>0</v>
      </c>
      <c r="K76" s="5"/>
      <c r="M76" s="3">
        <f t="shared" si="0"/>
        <v>76</v>
      </c>
      <c r="N76" s="36" t="s">
        <v>147</v>
      </c>
      <c r="O76" s="44" t="str">
        <f>IF($C$66&gt;=6,"λj ≦ q+3pz &lt; λj+1 の λj", "-")</f>
        <v>-</v>
      </c>
      <c r="P76" s="35" t="str">
        <f ca="1">IF($C$66&gt;=6,LOOKUP($C$61+3*$C$62, INDIRECT($P$2&amp;"!$A:$A")),"-")</f>
        <v>-</v>
      </c>
    </row>
    <row r="77" spans="1:16" x14ac:dyDescent="0.4">
      <c r="B77" s="4" t="s">
        <v>329</v>
      </c>
      <c r="C77" s="51"/>
      <c r="J77" s="5"/>
      <c r="K77" s="5"/>
      <c r="M77" s="3">
        <f t="shared" si="0"/>
        <v>77</v>
      </c>
      <c r="N77" s="36" t="s">
        <v>148</v>
      </c>
      <c r="O77" s="44" t="str">
        <f>IF($C$66&gt;=7,"λj ≦ q+4pz &lt; λj+1 の λj", "-")</f>
        <v>-</v>
      </c>
      <c r="P77" s="35" t="str">
        <f ca="1">IF($C$66&gt;=7,LOOKUP($C$61+4*$C$62, INDIRECT($P$2&amp;"!$A:$A")),"-")</f>
        <v>-</v>
      </c>
    </row>
    <row r="78" spans="1:16" x14ac:dyDescent="0.4">
      <c r="B78" s="12" t="s">
        <v>342</v>
      </c>
      <c r="C78" s="13"/>
      <c r="H78" s="4" t="s">
        <v>439</v>
      </c>
      <c r="I78" s="6"/>
      <c r="J78" s="5"/>
      <c r="M78" s="3">
        <f t="shared" si="0"/>
        <v>78</v>
      </c>
      <c r="N78" s="36" t="s">
        <v>149</v>
      </c>
      <c r="O78" s="44" t="str">
        <f>IF($C$66&gt;=8,"λj ≦ q+5pz &lt; λj+1 の λj", "-")</f>
        <v>-</v>
      </c>
      <c r="P78" s="35" t="str">
        <f ca="1">IF($C$66&gt;=8,LOOKUP($C$61+5*$C$62, INDIRECT($P$2&amp;"!$A:$A")),"-")</f>
        <v>-</v>
      </c>
    </row>
    <row r="79" spans="1:16" x14ac:dyDescent="0.4">
      <c r="B79" s="12" t="s">
        <v>343</v>
      </c>
      <c r="C79" s="51"/>
      <c r="G79" s="3" t="s">
        <v>481</v>
      </c>
      <c r="H79" s="9" t="s">
        <v>372</v>
      </c>
      <c r="I79" s="11" t="s">
        <v>73</v>
      </c>
      <c r="J79" s="56">
        <f>IF($C$43&lt;&gt;1, $C$148, "")</f>
        <v>110002</v>
      </c>
      <c r="M79" s="3">
        <f t="shared" si="0"/>
        <v>79</v>
      </c>
      <c r="N79" s="36" t="s">
        <v>151</v>
      </c>
      <c r="O79" s="44" t="s">
        <v>153</v>
      </c>
      <c r="P79" s="2" t="e">
        <f ca="1">LOOKUP($C$61+($C$66-2)*$C$62, INDIRECT($P$2&amp;"!$A:$A"))</f>
        <v>#REF!</v>
      </c>
    </row>
    <row r="80" spans="1:16" x14ac:dyDescent="0.4">
      <c r="G80" s="3" t="s">
        <v>76</v>
      </c>
      <c r="H80" s="9" t="s">
        <v>8</v>
      </c>
      <c r="I80" s="11" t="s">
        <v>76</v>
      </c>
      <c r="J80" s="26">
        <f>$P$17</f>
        <v>0</v>
      </c>
      <c r="M80" s="3">
        <f t="shared" si="0"/>
        <v>80</v>
      </c>
      <c r="N80" s="36" t="s">
        <v>150</v>
      </c>
      <c r="O80" s="44" t="s">
        <v>152</v>
      </c>
      <c r="P80" s="2" t="e">
        <f ca="1">LOOKUP($C$61+($C$66-1)*$C$62, INDIRECT($P$2&amp;"!$A:$A"))</f>
        <v>#REF!</v>
      </c>
    </row>
    <row r="81" spans="2:16" x14ac:dyDescent="0.4">
      <c r="B81" s="4" t="s">
        <v>340</v>
      </c>
      <c r="C81" s="51"/>
      <c r="G81" s="3" t="s">
        <v>74</v>
      </c>
      <c r="H81" s="9" t="s">
        <v>435</v>
      </c>
      <c r="I81" s="11" t="s">
        <v>74</v>
      </c>
      <c r="J81" s="26" t="e">
        <f>$J$9</f>
        <v>#NUM!</v>
      </c>
      <c r="K81" s="26" t="e">
        <f>$C$118+$J$81</f>
        <v>#NUM!</v>
      </c>
      <c r="M81" s="3">
        <f t="shared" si="0"/>
        <v>81</v>
      </c>
      <c r="N81" s="36" t="s">
        <v>112</v>
      </c>
      <c r="O81" s="44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344</v>
      </c>
      <c r="C82" s="13"/>
      <c r="J82" s="5"/>
      <c r="K82" s="5"/>
      <c r="M82" s="3">
        <f t="shared" si="0"/>
        <v>82</v>
      </c>
      <c r="N82" s="36" t="s">
        <v>144</v>
      </c>
      <c r="O82" s="44" t="str">
        <f>IF($C$66&gt;=4,"λj ≦ q+pz &lt; λj+1 の λj+1", "-")</f>
        <v>-</v>
      </c>
      <c r="P82" s="35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440</v>
      </c>
      <c r="I83" s="6"/>
      <c r="J83" s="5"/>
      <c r="M83" s="3">
        <f t="shared" si="0"/>
        <v>83</v>
      </c>
      <c r="N83" s="36" t="s">
        <v>146</v>
      </c>
      <c r="O83" s="44" t="str">
        <f>IF($C$66&gt;=5,"λj ≦ q+2pz &lt; λj+1 の λj+1", "-")</f>
        <v>-</v>
      </c>
      <c r="P83" s="35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330</v>
      </c>
      <c r="C84" s="51"/>
      <c r="G84" s="3" t="s">
        <v>481</v>
      </c>
      <c r="H84" s="9" t="s">
        <v>372</v>
      </c>
      <c r="I84" s="11" t="s">
        <v>73</v>
      </c>
      <c r="J84" s="56">
        <f>$C$150</f>
        <v>130001</v>
      </c>
      <c r="M84" s="3">
        <f t="shared" si="0"/>
        <v>84</v>
      </c>
      <c r="N84" s="36" t="s">
        <v>154</v>
      </c>
      <c r="O84" s="44" t="str">
        <f>IF($C$66&gt;=6,"λj ≦ q+3pz &lt; λj+1 の λj+1", "-")</f>
        <v>-</v>
      </c>
      <c r="P84" s="35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351</v>
      </c>
      <c r="C85" s="13"/>
      <c r="G85" s="3" t="s">
        <v>77</v>
      </c>
      <c r="H85" s="9" t="s">
        <v>80</v>
      </c>
      <c r="I85" s="11" t="s">
        <v>77</v>
      </c>
      <c r="J85" s="26" t="e">
        <f ca="1">$P$113</f>
        <v>#REF!</v>
      </c>
      <c r="M85" s="3">
        <f t="shared" si="0"/>
        <v>85</v>
      </c>
      <c r="N85" s="36" t="s">
        <v>155</v>
      </c>
      <c r="O85" s="44" t="str">
        <f>IF($C$66&gt;=7,"λj ≦ q+4pz &lt; λj+1 の λj+1", "-")</f>
        <v>-</v>
      </c>
      <c r="P85" s="35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352</v>
      </c>
      <c r="C86" s="51"/>
      <c r="G86" s="3" t="s">
        <v>74</v>
      </c>
      <c r="H86" s="9" t="s">
        <v>435</v>
      </c>
      <c r="I86" s="11" t="s">
        <v>74</v>
      </c>
      <c r="J86" s="26" t="e">
        <f>$J$9</f>
        <v>#NUM!</v>
      </c>
      <c r="K86" s="26" t="e">
        <f>$C$118+$J$86</f>
        <v>#NUM!</v>
      </c>
      <c r="M86" s="3">
        <f t="shared" si="0"/>
        <v>86</v>
      </c>
      <c r="N86" s="36" t="s">
        <v>156</v>
      </c>
      <c r="O86" s="44" t="str">
        <f>IF($C$66&gt;=8,"λj ≦ q+5pz &lt; λj+1 の λj+1", "-")</f>
        <v>-</v>
      </c>
      <c r="P86" s="35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463</v>
      </c>
      <c r="H87" s="9" t="s">
        <v>436</v>
      </c>
      <c r="I87" s="11" t="s">
        <v>74</v>
      </c>
      <c r="J87" s="26">
        <f>$J$4</f>
        <v>0</v>
      </c>
      <c r="K87" s="43"/>
      <c r="M87" s="3">
        <f t="shared" si="0"/>
        <v>87</v>
      </c>
      <c r="N87" s="36" t="s">
        <v>157</v>
      </c>
      <c r="O87" s="44" t="s">
        <v>159</v>
      </c>
      <c r="P87" s="35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345</v>
      </c>
      <c r="C88" s="51"/>
      <c r="G88" s="3" t="s">
        <v>466</v>
      </c>
      <c r="H88" s="9" t="s">
        <v>4</v>
      </c>
      <c r="I88" s="11" t="s">
        <v>73</v>
      </c>
      <c r="J88" s="26">
        <f>$C$7</f>
        <v>0</v>
      </c>
      <c r="M88" s="3">
        <f t="shared" si="0"/>
        <v>88</v>
      </c>
      <c r="N88" s="36" t="s">
        <v>158</v>
      </c>
      <c r="O88" s="44" t="s">
        <v>86</v>
      </c>
      <c r="P88" s="35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346</v>
      </c>
      <c r="C89" s="13"/>
      <c r="G89" s="3" t="s">
        <v>467</v>
      </c>
      <c r="H89" s="9" t="s">
        <v>426</v>
      </c>
      <c r="I89" s="11" t="s">
        <v>73</v>
      </c>
      <c r="J89" s="26">
        <f>$C$19</f>
        <v>0</v>
      </c>
      <c r="K89" s="5"/>
      <c r="M89" s="3">
        <f t="shared" si="0"/>
        <v>89</v>
      </c>
      <c r="N89" s="36" t="s">
        <v>87</v>
      </c>
      <c r="O89" s="44" t="str">
        <f>IF($C$66&gt;=3,"q-λj","")</f>
        <v/>
      </c>
      <c r="P89" s="35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6" t="s">
        <v>162</v>
      </c>
      <c r="O90" s="44" t="str">
        <f>IF($C$66&gt;=4,"q+pz-λj","")</f>
        <v/>
      </c>
      <c r="P90" s="35" t="str">
        <f>IF($C$66&gt;=4,$C$61+$C$62-$P$74, "-")</f>
        <v>-</v>
      </c>
    </row>
    <row r="91" spans="2:16" x14ac:dyDescent="0.4">
      <c r="B91" s="4" t="s">
        <v>331</v>
      </c>
      <c r="C91" s="51"/>
      <c r="H91" s="4" t="s">
        <v>441</v>
      </c>
      <c r="I91" s="6"/>
      <c r="J91" s="5"/>
      <c r="M91" s="3">
        <f t="shared" si="0"/>
        <v>91</v>
      </c>
      <c r="N91" s="36" t="s">
        <v>163</v>
      </c>
      <c r="O91" s="44" t="str">
        <f>IF($C$66&gt;=5,"q+2pz-λj","")</f>
        <v/>
      </c>
      <c r="P91" s="35" t="str">
        <f>IF($C$66&gt;=5,$C$61+2*$C$62-$P$75, "-")</f>
        <v>-</v>
      </c>
    </row>
    <row r="92" spans="2:16" x14ac:dyDescent="0.4">
      <c r="B92" s="12" t="s">
        <v>332</v>
      </c>
      <c r="C92" s="13"/>
      <c r="G92" s="3" t="s">
        <v>481</v>
      </c>
      <c r="H92" s="9" t="s">
        <v>372</v>
      </c>
      <c r="I92" s="11" t="s">
        <v>73</v>
      </c>
      <c r="J92" s="56">
        <f>$C$151</f>
        <v>130002</v>
      </c>
      <c r="M92" s="3">
        <f t="shared" si="0"/>
        <v>92</v>
      </c>
      <c r="N92" s="36" t="s">
        <v>164</v>
      </c>
      <c r="O92" s="44" t="str">
        <f>IF($C$66&gt;=6,"q+3pz-λj","")</f>
        <v/>
      </c>
      <c r="P92" s="35" t="str">
        <f>IF($C$66&gt;=6,$C$61+3*$C$62-$P$76, "-")</f>
        <v>-</v>
      </c>
    </row>
    <row r="93" spans="2:16" x14ac:dyDescent="0.4">
      <c r="B93" s="12" t="s">
        <v>79</v>
      </c>
      <c r="C93" s="51"/>
      <c r="G93" s="3" t="s">
        <v>76</v>
      </c>
      <c r="H93" s="9" t="s">
        <v>442</v>
      </c>
      <c r="I93" s="11" t="s">
        <v>76</v>
      </c>
      <c r="J93" s="26" t="e">
        <f ca="1">$P$114</f>
        <v>#REF!</v>
      </c>
      <c r="M93" s="3">
        <f t="shared" si="0"/>
        <v>93</v>
      </c>
      <c r="N93" s="36" t="s">
        <v>165</v>
      </c>
      <c r="O93" s="44" t="str">
        <f>IF($C$66&gt;=7,"q+4pz-λj","-")</f>
        <v>-</v>
      </c>
      <c r="P93" s="35" t="str">
        <f>IF($C$66&gt;=7,$C$61+4*$C$62-$P$77, "-")</f>
        <v>-</v>
      </c>
    </row>
    <row r="94" spans="2:16" x14ac:dyDescent="0.4">
      <c r="G94" s="3" t="s">
        <v>74</v>
      </c>
      <c r="H94" s="9" t="s">
        <v>435</v>
      </c>
      <c r="I94" s="11" t="s">
        <v>74</v>
      </c>
      <c r="J94" s="26" t="e">
        <f>$J$9</f>
        <v>#NUM!</v>
      </c>
      <c r="K94" s="26" t="e">
        <f>$C$118+$J$94</f>
        <v>#NUM!</v>
      </c>
      <c r="M94" s="3">
        <f t="shared" si="0"/>
        <v>94</v>
      </c>
      <c r="N94" s="36" t="s">
        <v>166</v>
      </c>
      <c r="O94" s="44" t="str">
        <f>IF($C$66&gt;=8,"q+5pz-λj","-")</f>
        <v>-</v>
      </c>
      <c r="P94" s="35" t="str">
        <f>IF($C$66&gt;=8,$C$61+5*$C$62-$P$78, "-")</f>
        <v>-</v>
      </c>
    </row>
    <row r="95" spans="2:16" x14ac:dyDescent="0.4">
      <c r="B95" s="4" t="s">
        <v>347</v>
      </c>
      <c r="C95" s="51"/>
      <c r="G95" s="3" t="s">
        <v>467</v>
      </c>
      <c r="H95" s="9" t="s">
        <v>426</v>
      </c>
      <c r="I95" s="11" t="s">
        <v>73</v>
      </c>
      <c r="J95" s="26">
        <f>$C$19</f>
        <v>0</v>
      </c>
      <c r="K95" s="5"/>
      <c r="M95" s="3">
        <f t="shared" si="0"/>
        <v>95</v>
      </c>
      <c r="N95" s="36" t="s">
        <v>167</v>
      </c>
      <c r="O95" s="44" t="s">
        <v>167</v>
      </c>
      <c r="P95" s="35" t="e">
        <f ca="1">$C$61+($C$66-2)*$C$62-$P$79</f>
        <v>#REF!</v>
      </c>
    </row>
    <row r="96" spans="2:16" x14ac:dyDescent="0.4">
      <c r="B96" s="12" t="s">
        <v>348</v>
      </c>
      <c r="C96" s="13"/>
      <c r="J96" s="5"/>
      <c r="K96" s="5"/>
      <c r="M96" s="3">
        <f t="shared" si="0"/>
        <v>96</v>
      </c>
      <c r="N96" s="36" t="s">
        <v>89</v>
      </c>
      <c r="O96" s="44" t="s">
        <v>89</v>
      </c>
      <c r="P96" s="35" t="e">
        <f ca="1">$C$61+($C$66-1)*$C$62-$P$80</f>
        <v>#REF!</v>
      </c>
    </row>
    <row r="97" spans="1:16" x14ac:dyDescent="0.4">
      <c r="H97" s="69" t="s">
        <v>567</v>
      </c>
      <c r="I97" s="11" t="s">
        <v>76</v>
      </c>
      <c r="J97" s="26" t="s">
        <v>559</v>
      </c>
      <c r="K97" s="26" t="s">
        <v>568</v>
      </c>
      <c r="M97" s="3">
        <f t="shared" si="0"/>
        <v>97</v>
      </c>
      <c r="N97" s="36" t="s">
        <v>88</v>
      </c>
      <c r="O97" s="44" t="str">
        <f>IF($C$66&gt;=3, "λj+1-q", "-")</f>
        <v>-</v>
      </c>
      <c r="P97" s="35" t="str">
        <f>IF($C$66&gt;=3,$P$81-$C$61, "-")</f>
        <v>-</v>
      </c>
    </row>
    <row r="98" spans="1:16" x14ac:dyDescent="0.4">
      <c r="B98" s="4" t="s">
        <v>592</v>
      </c>
      <c r="C98" s="70"/>
      <c r="J98" s="5"/>
      <c r="K98" s="5"/>
      <c r="M98" s="3">
        <f t="shared" si="0"/>
        <v>98</v>
      </c>
      <c r="N98" s="36" t="s">
        <v>168</v>
      </c>
      <c r="O98" s="44" t="str">
        <f>IF($C$66&gt;=4, "λj+1-q-pz", "-")</f>
        <v>-</v>
      </c>
      <c r="P98" s="35" t="str">
        <f>IF($C$66&gt;=4,$P$82-$C$61-$C$62, "-")</f>
        <v>-</v>
      </c>
    </row>
    <row r="99" spans="1:16" x14ac:dyDescent="0.4">
      <c r="B99" s="71" t="s">
        <v>575</v>
      </c>
      <c r="C99" s="72"/>
      <c r="H99" s="4" t="s">
        <v>531</v>
      </c>
      <c r="I99" s="6"/>
      <c r="J99" s="5"/>
      <c r="M99" s="3">
        <f t="shared" ref="M99:M196" si="2">ROW(M99)</f>
        <v>99</v>
      </c>
      <c r="N99" s="36" t="s">
        <v>169</v>
      </c>
      <c r="O99" s="44" t="str">
        <f>IF($C$66&gt;=5, "λj+1-q-2pz", "-")</f>
        <v>-</v>
      </c>
      <c r="P99" s="35" t="str">
        <f>IF($C$66&gt;=5,$P$83-$C$61-2*$C$62, "-")</f>
        <v>-</v>
      </c>
    </row>
    <row r="100" spans="1:16" x14ac:dyDescent="0.4">
      <c r="B100" s="71" t="s">
        <v>576</v>
      </c>
      <c r="C100" s="72"/>
      <c r="G100" s="3" t="s">
        <v>481</v>
      </c>
      <c r="H100" s="9" t="s">
        <v>372</v>
      </c>
      <c r="I100" s="11" t="s">
        <v>73</v>
      </c>
      <c r="J100" s="56" t="str">
        <f>IF(AND($C$47&lt;&gt;0, $C$32&lt;&gt;1), $C$149, "")</f>
        <v/>
      </c>
      <c r="M100" s="3">
        <f t="shared" si="2"/>
        <v>100</v>
      </c>
      <c r="N100" s="36" t="s">
        <v>170</v>
      </c>
      <c r="O100" s="44" t="str">
        <f>IF($C$66&gt;=6, "λj+1-q-3pz", "-")</f>
        <v>-</v>
      </c>
      <c r="P100" s="35" t="str">
        <f>IF($C$66&gt;=6,$P$84-$C$61-3*$C$62, "-")</f>
        <v>-</v>
      </c>
    </row>
    <row r="101" spans="1:16" x14ac:dyDescent="0.4">
      <c r="B101" s="71" t="s">
        <v>577</v>
      </c>
      <c r="C101" s="72"/>
      <c r="G101" s="3" t="s">
        <v>77</v>
      </c>
      <c r="H101" s="9" t="s">
        <v>32</v>
      </c>
      <c r="I101" s="11" t="s">
        <v>77</v>
      </c>
      <c r="J101" s="26">
        <f>IF($C$46=4, "#0", $J$186)</f>
        <v>0</v>
      </c>
      <c r="K101" s="42"/>
      <c r="M101" s="3">
        <f t="shared" si="2"/>
        <v>101</v>
      </c>
      <c r="N101" s="36" t="s">
        <v>171</v>
      </c>
      <c r="O101" s="44" t="str">
        <f>IF($C$66&gt;=7, "λj+1-q-4pz", "-")</f>
        <v>-</v>
      </c>
      <c r="P101" s="35" t="str">
        <f>IF($C$66&gt;=7,$P$85-$C$61-4*$C$62, "-")</f>
        <v>-</v>
      </c>
    </row>
    <row r="102" spans="1:16" x14ac:dyDescent="0.4">
      <c r="B102" s="71" t="s">
        <v>578</v>
      </c>
      <c r="C102" s="72"/>
      <c r="G102" s="3" t="s">
        <v>472</v>
      </c>
      <c r="H102" s="9" t="s">
        <v>55</v>
      </c>
      <c r="I102" s="11" t="s">
        <v>77</v>
      </c>
      <c r="J102" s="26">
        <f>$P$16</f>
        <v>0</v>
      </c>
      <c r="K102" s="59"/>
      <c r="M102" s="3">
        <f t="shared" si="2"/>
        <v>102</v>
      </c>
      <c r="N102" s="36" t="s">
        <v>172</v>
      </c>
      <c r="O102" s="44" t="str">
        <f>IF($C$66&gt;=8, "λj+1-q-5pz", "-")</f>
        <v>-</v>
      </c>
      <c r="P102" s="35" t="str">
        <f>IF($C$66&gt;=8,$P$86-$C$61-5*$C$62, "-")</f>
        <v>-</v>
      </c>
    </row>
    <row r="103" spans="1:16" x14ac:dyDescent="0.4">
      <c r="B103" s="71" t="s">
        <v>579</v>
      </c>
      <c r="C103" s="72"/>
      <c r="G103" s="3" t="s">
        <v>74</v>
      </c>
      <c r="H103" s="9" t="s">
        <v>435</v>
      </c>
      <c r="I103" s="11" t="s">
        <v>74</v>
      </c>
      <c r="J103" s="26" t="e">
        <f>$J$9</f>
        <v>#NUM!</v>
      </c>
      <c r="K103" s="26" t="e">
        <f>$C$118+$J$103</f>
        <v>#NUM!</v>
      </c>
      <c r="M103" s="3">
        <f t="shared" si="2"/>
        <v>103</v>
      </c>
      <c r="N103" s="36" t="s">
        <v>173</v>
      </c>
      <c r="O103" s="44" t="s">
        <v>173</v>
      </c>
      <c r="P103" s="2" t="e">
        <f ca="1">$P$87-$C$61-($C$66-2)*$C$62</f>
        <v>#REF!</v>
      </c>
    </row>
    <row r="104" spans="1:16" x14ac:dyDescent="0.4">
      <c r="G104" s="3" t="s">
        <v>467</v>
      </c>
      <c r="H104" s="9" t="s">
        <v>30</v>
      </c>
      <c r="I104" s="11" t="s">
        <v>74</v>
      </c>
      <c r="J104" s="26">
        <f>$J$195</f>
        <v>0</v>
      </c>
      <c r="K104" s="59"/>
      <c r="M104" s="3">
        <f t="shared" si="2"/>
        <v>104</v>
      </c>
      <c r="N104" s="36" t="s">
        <v>115</v>
      </c>
      <c r="O104" s="44" t="s">
        <v>115</v>
      </c>
      <c r="P104" s="2" t="e">
        <f ca="1">$P$88-$C$61-($C$66-1)*$C$62</f>
        <v>#REF!</v>
      </c>
    </row>
    <row r="105" spans="1:16" x14ac:dyDescent="0.4">
      <c r="B105" s="4" t="s">
        <v>591</v>
      </c>
      <c r="C105" s="70"/>
      <c r="G105" s="3" t="s">
        <v>491</v>
      </c>
      <c r="H105" s="9" t="s">
        <v>31</v>
      </c>
      <c r="I105" s="11" t="s">
        <v>74</v>
      </c>
      <c r="J105" s="26">
        <f>$J$196</f>
        <v>0</v>
      </c>
      <c r="K105" s="59"/>
      <c r="M105" s="3">
        <f t="shared" si="2"/>
        <v>105</v>
      </c>
      <c r="N105" s="36" t="s">
        <v>174</v>
      </c>
      <c r="O105" s="44" t="str">
        <f>IF($C$66&gt;=3,"1列目湾曲中心X","-")</f>
        <v>-</v>
      </c>
      <c r="P105" s="37" t="str">
        <f>IF($C$66&gt;=3,SQRT($C$7^2-$P$65^2),"-")</f>
        <v>-</v>
      </c>
    </row>
    <row r="106" spans="1:16" x14ac:dyDescent="0.4">
      <c r="B106" s="71" t="s">
        <v>593</v>
      </c>
      <c r="C106" s="72"/>
      <c r="G106" s="3" t="s">
        <v>468</v>
      </c>
      <c r="H106" s="9" t="s">
        <v>532</v>
      </c>
      <c r="I106" s="11" t="s">
        <v>77</v>
      </c>
      <c r="J106" s="26">
        <f>$C$52+($D$52+$E$52)/2</f>
        <v>0</v>
      </c>
      <c r="K106" s="59"/>
      <c r="M106" s="3">
        <f t="shared" si="2"/>
        <v>106</v>
      </c>
      <c r="N106" s="36" t="s">
        <v>175</v>
      </c>
      <c r="O106" s="44" t="str">
        <f>IF($C$66&gt;=4,"2列目湾曲中心X","-")</f>
        <v>-</v>
      </c>
      <c r="P106" s="37" t="str">
        <f>IF($C$66&gt;=4,SQRT($C$7^2-$P$66^2),"-")</f>
        <v>-</v>
      </c>
    </row>
    <row r="107" spans="1:16" x14ac:dyDescent="0.4">
      <c r="B107" s="71" t="s">
        <v>594</v>
      </c>
      <c r="C107" s="72"/>
      <c r="H107" s="69" t="s">
        <v>562</v>
      </c>
      <c r="I107" s="11" t="s">
        <v>77</v>
      </c>
      <c r="J107" s="26" t="s">
        <v>563</v>
      </c>
      <c r="K107" s="26" t="s">
        <v>558</v>
      </c>
      <c r="M107" s="3">
        <f t="shared" si="2"/>
        <v>107</v>
      </c>
      <c r="N107" s="36" t="s">
        <v>176</v>
      </c>
      <c r="O107" s="44" t="str">
        <f>IF($C$66&gt;=5,"3列目湾曲中心X","-")</f>
        <v>-</v>
      </c>
      <c r="P107" s="37" t="str">
        <f>IF($C$66&gt;=5,SQRT($C$7^2-$P$67^2),"-")</f>
        <v>-</v>
      </c>
    </row>
    <row r="108" spans="1:16" x14ac:dyDescent="0.4">
      <c r="B108" s="71" t="s">
        <v>595</v>
      </c>
      <c r="C108" s="72"/>
      <c r="J108" s="5"/>
      <c r="K108" s="5"/>
      <c r="M108" s="3">
        <f t="shared" si="2"/>
        <v>108</v>
      </c>
      <c r="N108" s="36" t="s">
        <v>177</v>
      </c>
      <c r="O108" s="44" t="str">
        <f>IF($C$66&gt;=6,"4列目湾曲中心X","-")</f>
        <v>-</v>
      </c>
      <c r="P108" s="37" t="str">
        <f>IF($C$66&gt;=6,SQRT($C$7^2-$P$68^2),"-")</f>
        <v>-</v>
      </c>
    </row>
    <row r="109" spans="1:16" x14ac:dyDescent="0.4">
      <c r="B109" s="71" t="s">
        <v>596</v>
      </c>
      <c r="C109" s="72"/>
      <c r="H109" s="4" t="s">
        <v>550</v>
      </c>
      <c r="I109" s="6"/>
      <c r="J109" s="5"/>
      <c r="M109" s="3">
        <f t="shared" si="2"/>
        <v>109</v>
      </c>
      <c r="N109" s="36" t="s">
        <v>178</v>
      </c>
      <c r="O109" s="44" t="str">
        <f>IF($C$66&gt;=7,"5列目湾曲中心X","-")</f>
        <v>-</v>
      </c>
      <c r="P109" s="37" t="str">
        <f>IF($C$66&gt;=7,SQRT($C$7^2-$P$69^2),"-")</f>
        <v>-</v>
      </c>
    </row>
    <row r="110" spans="1:16" x14ac:dyDescent="0.4">
      <c r="G110" s="3" t="s">
        <v>481</v>
      </c>
      <c r="H110" s="9" t="s">
        <v>372</v>
      </c>
      <c r="I110" s="11" t="s">
        <v>73</v>
      </c>
      <c r="J110" s="56">
        <f>IF($C$43&lt;&gt;1, $C$148, "")</f>
        <v>110002</v>
      </c>
      <c r="M110" s="3">
        <f t="shared" si="2"/>
        <v>110</v>
      </c>
      <c r="N110" s="36" t="s">
        <v>179</v>
      </c>
      <c r="O110" s="44" t="str">
        <f>IF($C$66&gt;=8,"6列目湾曲中心X","-")</f>
        <v>-</v>
      </c>
      <c r="P110" s="37" t="str">
        <f>IF($C$66&gt;=8,SQRT($C$7^2-$P$70^2),"-")</f>
        <v>-</v>
      </c>
    </row>
    <row r="111" spans="1:16" x14ac:dyDescent="0.4">
      <c r="B111" s="22" t="s">
        <v>78</v>
      </c>
      <c r="C111" s="25"/>
      <c r="G111" s="3" t="s">
        <v>76</v>
      </c>
      <c r="H111" s="9" t="s">
        <v>8</v>
      </c>
      <c r="I111" s="11" t="s">
        <v>76</v>
      </c>
      <c r="J111" s="26">
        <f>$P$17</f>
        <v>0</v>
      </c>
      <c r="M111" s="3">
        <f t="shared" si="2"/>
        <v>111</v>
      </c>
      <c r="N111" s="36" t="s">
        <v>180</v>
      </c>
      <c r="O111" s="44" t="s">
        <v>182</v>
      </c>
      <c r="P111" s="38">
        <f>SQRT($C$7^2-$P$71^2)</f>
        <v>0</v>
      </c>
    </row>
    <row r="112" spans="1:16" x14ac:dyDescent="0.4">
      <c r="A112" s="3" t="s">
        <v>0</v>
      </c>
      <c r="B112" s="12" t="s">
        <v>333</v>
      </c>
      <c r="C112" s="17">
        <v>330</v>
      </c>
      <c r="G112" s="3" t="s">
        <v>74</v>
      </c>
      <c r="H112" s="9" t="s">
        <v>435</v>
      </c>
      <c r="I112" s="11" t="s">
        <v>74</v>
      </c>
      <c r="J112" s="26" t="e">
        <f>$J$9</f>
        <v>#NUM!</v>
      </c>
      <c r="K112" s="26" t="e">
        <f>$C$118+$J$103</f>
        <v>#NUM!</v>
      </c>
      <c r="M112" s="3">
        <f t="shared" si="2"/>
        <v>112</v>
      </c>
      <c r="N112" s="36" t="s">
        <v>181</v>
      </c>
      <c r="O112" s="44" t="s">
        <v>183</v>
      </c>
      <c r="P112" s="38">
        <f>SQRT($C$7^2-$P$72^2)</f>
        <v>0</v>
      </c>
    </row>
    <row r="113" spans="1:16" x14ac:dyDescent="0.4">
      <c r="A113" s="3" t="s">
        <v>1</v>
      </c>
      <c r="B113" s="12" t="s">
        <v>635</v>
      </c>
      <c r="C113" s="17">
        <v>40</v>
      </c>
      <c r="G113" s="3" t="s">
        <v>467</v>
      </c>
      <c r="H113" s="9" t="s">
        <v>30</v>
      </c>
      <c r="I113" s="11" t="s">
        <v>74</v>
      </c>
      <c r="J113" s="26">
        <f>$J$195</f>
        <v>0</v>
      </c>
      <c r="K113" s="59"/>
      <c r="M113" s="3">
        <f t="shared" si="2"/>
        <v>113</v>
      </c>
      <c r="N113" s="36" t="s">
        <v>130</v>
      </c>
      <c r="O113" s="45" t="s">
        <v>324</v>
      </c>
      <c r="P113" s="35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491</v>
      </c>
      <c r="H114" s="9" t="s">
        <v>31</v>
      </c>
      <c r="I114" s="11" t="s">
        <v>74</v>
      </c>
      <c r="J114" s="26">
        <f>$J$196</f>
        <v>0</v>
      </c>
      <c r="K114" s="59"/>
      <c r="M114" s="3">
        <f>ROW(M114)</f>
        <v>114</v>
      </c>
      <c r="N114" s="36" t="s">
        <v>497</v>
      </c>
      <c r="O114" s="45" t="s">
        <v>498</v>
      </c>
      <c r="P114" s="35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2">
        <v>201.5</v>
      </c>
      <c r="H115" s="69" t="s">
        <v>564</v>
      </c>
      <c r="I115" s="11" t="s">
        <v>76</v>
      </c>
      <c r="J115" s="26" t="s">
        <v>565</v>
      </c>
      <c r="K115" s="26" t="s">
        <v>559</v>
      </c>
      <c r="M115" s="3">
        <f t="shared" si="2"/>
        <v>115</v>
      </c>
      <c r="O115" s="45" t="s">
        <v>521</v>
      </c>
      <c r="P115" s="35" t="e">
        <f ca="1">INDEX(INDIRECT($P$2&amp;"!D:D"), MATCH(0, INDIRECT($P$2&amp;"!A:A"), 0))</f>
        <v>#REF!</v>
      </c>
    </row>
    <row r="116" spans="1:16" x14ac:dyDescent="0.4">
      <c r="B116" s="12" t="s">
        <v>427</v>
      </c>
      <c r="C116" s="32">
        <v>-739.55499999999995</v>
      </c>
      <c r="J116" s="5"/>
      <c r="K116" s="5"/>
      <c r="M116" s="3">
        <f t="shared" si="2"/>
        <v>116</v>
      </c>
      <c r="N116" s="36" t="s">
        <v>323</v>
      </c>
      <c r="O116" s="45" t="s">
        <v>325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2">
        <v>-550.01900000000001</v>
      </c>
      <c r="H117" s="27" t="s">
        <v>505</v>
      </c>
      <c r="J117" s="5"/>
      <c r="M117" s="3">
        <f t="shared" si="2"/>
        <v>117</v>
      </c>
      <c r="N117" s="36" t="s">
        <v>499</v>
      </c>
      <c r="O117" s="45" t="s">
        <v>500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2">
        <v>-1149.9739999999999</v>
      </c>
      <c r="G118" s="3" t="s">
        <v>481</v>
      </c>
      <c r="H118" s="9" t="s">
        <v>372</v>
      </c>
      <c r="I118" s="11" t="s">
        <v>73</v>
      </c>
      <c r="J118" s="56">
        <f>$C$155</f>
        <v>210003</v>
      </c>
      <c r="M118" s="3">
        <f t="shared" si="2"/>
        <v>118</v>
      </c>
      <c r="O118" s="45" t="s">
        <v>522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2">
        <v>7.2999999999999995E-2</v>
      </c>
      <c r="G119" s="3" t="s">
        <v>464</v>
      </c>
      <c r="H119" s="9" t="s">
        <v>426</v>
      </c>
      <c r="I119" s="11" t="s">
        <v>73</v>
      </c>
      <c r="J119" s="26">
        <f>$C$19</f>
        <v>0</v>
      </c>
      <c r="K119" s="5"/>
      <c r="M119" s="3">
        <f t="shared" si="2"/>
        <v>119</v>
      </c>
      <c r="N119" s="36" t="s">
        <v>184</v>
      </c>
      <c r="O119" s="44" t="str">
        <f>IF($C$66&gt;=3,"λj ≦ q &lt; λj+1 の wAj", "-")</f>
        <v>-</v>
      </c>
      <c r="P119" s="35" t="str">
        <f ca="1">IF($C$66&gt;=3, INDEX(INDIRECT($P$2&amp;"!B:B"), MATCH($P$73, INDIRECT($P$2&amp;"!A:A"), 0)),"-")</f>
        <v>-</v>
      </c>
    </row>
    <row r="120" spans="1:16" x14ac:dyDescent="0.4">
      <c r="B120" s="12" t="s">
        <v>318</v>
      </c>
      <c r="C120" s="17">
        <v>257</v>
      </c>
      <c r="G120" s="3" t="s">
        <v>74</v>
      </c>
      <c r="H120" s="9" t="s">
        <v>435</v>
      </c>
      <c r="I120" s="11" t="s">
        <v>74</v>
      </c>
      <c r="J120" s="26" t="e">
        <f>$J$9</f>
        <v>#NUM!</v>
      </c>
      <c r="K120" s="26" t="e">
        <f>$C$118+$J$120</f>
        <v>#NUM!</v>
      </c>
      <c r="M120" s="3">
        <f t="shared" si="2"/>
        <v>120</v>
      </c>
      <c r="N120" s="36" t="s">
        <v>185</v>
      </c>
      <c r="O120" s="44" t="str">
        <f>IF($C$66&gt;=4,"λj ≦ q+pz &lt; λj+1 の wAj", "-")</f>
        <v>-</v>
      </c>
      <c r="P120" s="35" t="str">
        <f ca="1">IF($C$66&gt;=4, INDEX(INDIRECT($P$2&amp;"!B:B"), MATCH($P$74, INDIRECT($P$2&amp;"!A:A"), 0)),"-")</f>
        <v>-</v>
      </c>
    </row>
    <row r="121" spans="1:16" x14ac:dyDescent="0.4">
      <c r="B121" s="12" t="s">
        <v>319</v>
      </c>
      <c r="C121" s="17">
        <v>247</v>
      </c>
      <c r="G121" s="3" t="s">
        <v>463</v>
      </c>
      <c r="H121" s="9" t="s">
        <v>436</v>
      </c>
      <c r="I121" s="11" t="s">
        <v>74</v>
      </c>
      <c r="J121" s="26">
        <f>$J$4</f>
        <v>0</v>
      </c>
      <c r="K121" s="43"/>
      <c r="M121" s="3">
        <f t="shared" si="2"/>
        <v>121</v>
      </c>
      <c r="N121" s="36" t="s">
        <v>186</v>
      </c>
      <c r="O121" s="44" t="str">
        <f>IF($C$66&gt;=5,"λj ≦ q+2pz &lt; λj+1 の wAj", "-")</f>
        <v>-</v>
      </c>
      <c r="P121" s="35" t="str">
        <f ca="1">IF($C$66&gt;=5, INDEX(INDIRECT($P$2&amp;"!B:B"), MATCH($P$75, INDIRECT($P$2&amp;"!A:A"), 0)),"-")</f>
        <v>-</v>
      </c>
    </row>
    <row r="122" spans="1:16" x14ac:dyDescent="0.4">
      <c r="B122" s="12" t="s">
        <v>405</v>
      </c>
      <c r="C122" s="33">
        <v>8</v>
      </c>
      <c r="G122" s="3" t="s">
        <v>469</v>
      </c>
      <c r="H122" s="9" t="s">
        <v>387</v>
      </c>
      <c r="I122" s="11" t="s">
        <v>77</v>
      </c>
      <c r="J122" s="26">
        <f>$C$64</f>
        <v>0</v>
      </c>
      <c r="M122" s="3">
        <f t="shared" si="2"/>
        <v>122</v>
      </c>
      <c r="N122" s="36" t="s">
        <v>187</v>
      </c>
      <c r="O122" s="44" t="str">
        <f>IF($C$66&gt;=6,"λj ≦ q+3pz &lt; λj+1 の wAj", "-")</f>
        <v>-</v>
      </c>
      <c r="P122" s="35" t="str">
        <f ca="1">IF($C$66&gt;=6, INDEX(INDIRECT($P$2&amp;"!B:B"), MATCH($P$76, INDIRECT($P$2&amp;"!A:A"), 0)),"-")</f>
        <v>-</v>
      </c>
    </row>
    <row r="123" spans="1:16" x14ac:dyDescent="0.4">
      <c r="G123" s="3" t="s">
        <v>470</v>
      </c>
      <c r="H123" s="9" t="s">
        <v>389</v>
      </c>
      <c r="I123" s="11" t="s">
        <v>77</v>
      </c>
      <c r="J123" s="26">
        <f>$C$65</f>
        <v>0</v>
      </c>
      <c r="M123" s="3">
        <f t="shared" si="2"/>
        <v>123</v>
      </c>
      <c r="N123" s="36" t="s">
        <v>188</v>
      </c>
      <c r="O123" s="44" t="str">
        <f>IF($C$66&gt;=7,"λj ≦ q+4pz &lt; λj+1 の wAj", "-")</f>
        <v>-</v>
      </c>
      <c r="P123" s="35" t="str">
        <f ca="1">IF($C$66&gt;=7, INDEX(INDIRECT($P$2&amp;"!B:B"), MATCH($P$77, INDIRECT($P$2&amp;"!A:A"), 0)),"-")</f>
        <v>-</v>
      </c>
    </row>
    <row r="124" spans="1:16" x14ac:dyDescent="0.4">
      <c r="B124" s="4" t="s">
        <v>358</v>
      </c>
      <c r="G124" s="3" t="s">
        <v>457</v>
      </c>
      <c r="H124" s="9" t="s">
        <v>384</v>
      </c>
      <c r="I124" s="11" t="s">
        <v>74</v>
      </c>
      <c r="J124" s="26">
        <f>$C$61</f>
        <v>0</v>
      </c>
      <c r="M124" s="3">
        <f t="shared" si="2"/>
        <v>124</v>
      </c>
      <c r="N124" s="36" t="s">
        <v>189</v>
      </c>
      <c r="O124" s="44" t="str">
        <f>IF($C$66&gt;=8,"λj ≦ q+5pz &lt; λj+1 の wAj", "-")</f>
        <v>-</v>
      </c>
      <c r="P124" s="35" t="str">
        <f ca="1">IF($C$66&gt;=8, INDEX(INDIRECT($P$2&amp;"!B:B"), MATCH($P$78, INDIRECT($P$2&amp;"!A:A"), 0)),"-")</f>
        <v>-</v>
      </c>
    </row>
    <row r="125" spans="1:16" x14ac:dyDescent="0.4">
      <c r="B125" s="12" t="s">
        <v>655</v>
      </c>
      <c r="C125" s="57">
        <v>1</v>
      </c>
      <c r="G125" s="3" t="s">
        <v>468</v>
      </c>
      <c r="H125" s="9" t="s">
        <v>386</v>
      </c>
      <c r="I125" s="11" t="s">
        <v>77</v>
      </c>
      <c r="J125" s="26">
        <f>$C$63</f>
        <v>0</v>
      </c>
      <c r="M125" s="3">
        <f t="shared" si="2"/>
        <v>125</v>
      </c>
      <c r="N125" s="36" t="s">
        <v>190</v>
      </c>
      <c r="O125" s="44" t="s">
        <v>192</v>
      </c>
      <c r="P125" s="35" t="e">
        <f ca="1">INDEX(INDIRECT($P$2&amp;"!B:B"), MATCH($P$79, INDIRECT($P$2&amp;"!A:A"), 0))</f>
        <v>#REF!</v>
      </c>
    </row>
    <row r="126" spans="1:16" x14ac:dyDescent="0.4">
      <c r="B126" s="12" t="s">
        <v>359</v>
      </c>
      <c r="C126" s="57">
        <v>2</v>
      </c>
      <c r="G126" s="3" t="s">
        <v>471</v>
      </c>
      <c r="H126" s="9" t="s">
        <v>385</v>
      </c>
      <c r="I126" s="11" t="s">
        <v>74</v>
      </c>
      <c r="J126" s="26">
        <f>$C$62</f>
        <v>0</v>
      </c>
      <c r="M126" s="3">
        <f t="shared" si="2"/>
        <v>126</v>
      </c>
      <c r="N126" s="36" t="s">
        <v>191</v>
      </c>
      <c r="O126" s="44" t="s">
        <v>193</v>
      </c>
      <c r="P126" s="35" t="e">
        <f ca="1">INDEX(INDIRECT($P$2&amp;"!B:B"), MATCH($P$80, INDIRECT($P$2&amp;"!A:A"), 0))</f>
        <v>#REF!</v>
      </c>
    </row>
    <row r="127" spans="1:16" x14ac:dyDescent="0.4">
      <c r="B127" s="12" t="s">
        <v>360</v>
      </c>
      <c r="C127" s="57">
        <v>6</v>
      </c>
      <c r="G127" s="3" t="s">
        <v>467</v>
      </c>
      <c r="H127" s="9" t="s">
        <v>390</v>
      </c>
      <c r="I127" s="11" t="s">
        <v>73</v>
      </c>
      <c r="J127" s="56">
        <f>$C$66</f>
        <v>0</v>
      </c>
      <c r="M127" s="3">
        <f t="shared" si="2"/>
        <v>127</v>
      </c>
      <c r="N127" s="36" t="s">
        <v>194</v>
      </c>
      <c r="O127" s="44" t="str">
        <f>IF($C$66&gt;=3,"λj ≦ q &lt; λj+1 の wAj+1", "-")</f>
        <v>-</v>
      </c>
      <c r="P127" s="35" t="str">
        <f ca="1">IF($C$66&gt;=3, INDEX(INDIRECT($P$2&amp;"!B:B"), MATCH($P$81, INDIRECT($P$2&amp;"!A:A"), 0)),"-")</f>
        <v>-</v>
      </c>
    </row>
    <row r="128" spans="1:16" x14ac:dyDescent="0.4">
      <c r="B128" s="12" t="s">
        <v>361</v>
      </c>
      <c r="C128" s="57">
        <v>8</v>
      </c>
      <c r="G128" s="3" t="s">
        <v>472</v>
      </c>
      <c r="H128" s="9" t="s">
        <v>391</v>
      </c>
      <c r="I128" s="11" t="s">
        <v>73</v>
      </c>
      <c r="J128" s="26">
        <f>$C$67</f>
        <v>0</v>
      </c>
      <c r="M128" s="3">
        <f t="shared" si="2"/>
        <v>128</v>
      </c>
      <c r="N128" s="36" t="s">
        <v>195</v>
      </c>
      <c r="O128" s="44" t="str">
        <f>IF($C$66&gt;=4,"λj ≦ q+pz &lt; λj+1 の wAj+1", "-")</f>
        <v>-</v>
      </c>
      <c r="P128" s="35" t="str">
        <f ca="1">IF($C$66&gt;=4, INDEX(INDIRECT($P$2&amp;"!B:B"), MATCH($P$82, INDIRECT($P$2&amp;"!A:A"), 0)),"-")</f>
        <v>-</v>
      </c>
    </row>
    <row r="129" spans="2:16" x14ac:dyDescent="0.4">
      <c r="B129" s="12" t="s">
        <v>649</v>
      </c>
      <c r="C129" s="57">
        <v>11</v>
      </c>
      <c r="G129" s="3" t="s">
        <v>466</v>
      </c>
      <c r="H129" s="9" t="s">
        <v>4</v>
      </c>
      <c r="I129" s="11" t="s">
        <v>73</v>
      </c>
      <c r="J129" s="26">
        <f>$C$7</f>
        <v>0</v>
      </c>
      <c r="M129" s="3">
        <f t="shared" si="2"/>
        <v>129</v>
      </c>
      <c r="N129" s="36" t="s">
        <v>196</v>
      </c>
      <c r="O129" s="44" t="str">
        <f>IF($C$66&gt;=5,"λj ≦ q+2pz &lt; λj+1 の wAj+1", "-")</f>
        <v>-</v>
      </c>
      <c r="P129" s="35" t="str">
        <f ca="1">IF($C$66&gt;=5, INDEX(INDIRECT($P$2&amp;"!B:B"), MATCH($P$83, INDIRECT($P$2&amp;"!A:A"), 0)),"-")</f>
        <v>-</v>
      </c>
    </row>
    <row r="130" spans="2:16" x14ac:dyDescent="0.4">
      <c r="B130" s="12" t="s">
        <v>650</v>
      </c>
      <c r="C130" s="57">
        <v>12</v>
      </c>
      <c r="G130" s="3" t="s">
        <v>473</v>
      </c>
      <c r="H130" s="9" t="s">
        <v>275</v>
      </c>
      <c r="I130" s="11" t="s">
        <v>75</v>
      </c>
      <c r="J130" s="26" t="e">
        <f>$J$13</f>
        <v>#NUM!</v>
      </c>
      <c r="K130" s="42"/>
      <c r="M130" s="3">
        <f t="shared" si="2"/>
        <v>130</v>
      </c>
      <c r="N130" s="36" t="s">
        <v>197</v>
      </c>
      <c r="O130" s="44" t="str">
        <f>IF($C$66&gt;=6,"λj ≦ q+3pz &lt; λj+1 の wAj+1", "-")</f>
        <v>-</v>
      </c>
      <c r="P130" s="35" t="str">
        <f ca="1">IF($C$66&gt;=6, INDEX(INDIRECT($P$2&amp;"!B:B"), MATCH($P$84, INDIRECT($P$2&amp;"!A:A"), 0)),"-")</f>
        <v>-</v>
      </c>
    </row>
    <row r="131" spans="2:16" x14ac:dyDescent="0.4">
      <c r="B131" s="12" t="s">
        <v>651</v>
      </c>
      <c r="C131" s="57">
        <v>13</v>
      </c>
      <c r="G131" s="3" t="s">
        <v>75</v>
      </c>
      <c r="H131" s="10" t="s">
        <v>400</v>
      </c>
      <c r="I131" s="46" t="s">
        <v>75</v>
      </c>
      <c r="J131" s="26" t="e">
        <f ca="1">-ROUND(DEGREES($P$140),3)</f>
        <v>#VALUE!</v>
      </c>
      <c r="K131" s="5"/>
      <c r="M131" s="3">
        <f t="shared" si="2"/>
        <v>131</v>
      </c>
      <c r="N131" s="36" t="s">
        <v>198</v>
      </c>
      <c r="O131" s="44" t="str">
        <f>IF($C$66&gt;=7,"λj ≦ q+4pz &lt; λj+1 の wAj+1", "-")</f>
        <v>-</v>
      </c>
      <c r="P131" s="35" t="str">
        <f ca="1">IF($C$66&gt;=7, INDEX(INDIRECT($P$2&amp;"!B:B"), MATCH($P$85, INDIRECT($P$2&amp;"!A:A"), 0)),"-")</f>
        <v>-</v>
      </c>
    </row>
    <row r="132" spans="2:16" x14ac:dyDescent="0.4">
      <c r="B132" s="12" t="s">
        <v>362</v>
      </c>
      <c r="C132" s="57">
        <v>16</v>
      </c>
      <c r="J132" s="5"/>
      <c r="K132" s="5"/>
      <c r="M132" s="3">
        <f t="shared" si="2"/>
        <v>132</v>
      </c>
      <c r="N132" s="36" t="s">
        <v>199</v>
      </c>
      <c r="O132" s="44" t="str">
        <f>IF($C$66&gt;=8,"λj ≦ q+5pz &lt; λj+1 の wAj+1", "-")</f>
        <v>-</v>
      </c>
      <c r="P132" s="35" t="str">
        <f ca="1">IF($C$66&gt;=8, INDEX(INDIRECT($P$2&amp;"!B:B"), MATCH($P$86, INDIRECT($P$2&amp;"!A:A"), 0)),"-")</f>
        <v>-</v>
      </c>
    </row>
    <row r="133" spans="2:16" x14ac:dyDescent="0.4">
      <c r="B133" s="12" t="s">
        <v>633</v>
      </c>
      <c r="C133" s="57"/>
      <c r="H133" s="27" t="s">
        <v>506</v>
      </c>
      <c r="J133" s="5"/>
      <c r="M133" s="3">
        <f t="shared" si="2"/>
        <v>133</v>
      </c>
      <c r="N133" s="36" t="s">
        <v>200</v>
      </c>
      <c r="O133" s="44" t="s">
        <v>202</v>
      </c>
      <c r="P133" s="35" t="e">
        <f ca="1">INDEX(INDIRECT($P$2&amp;"!B:B"), MATCH($P$87, INDIRECT($P$2&amp;"!A:A"), 0))</f>
        <v>#REF!</v>
      </c>
    </row>
    <row r="134" spans="2:16" x14ac:dyDescent="0.4">
      <c r="B134" s="12" t="s">
        <v>363</v>
      </c>
      <c r="C134" s="57">
        <v>31</v>
      </c>
      <c r="G134" s="3" t="s">
        <v>464</v>
      </c>
      <c r="H134" s="9" t="s">
        <v>358</v>
      </c>
      <c r="I134" s="11" t="s">
        <v>73</v>
      </c>
      <c r="J134" s="56" t="e" cm="1">
        <f t="array" ref="J134">_xlfn.IFS($C$68&gt;=20, $C$134, $C$68&gt;=6.6, $C$135, $C$68&gt;=15, $C$136)</f>
        <v>#N/A</v>
      </c>
      <c r="K134" s="42"/>
      <c r="M134" s="3">
        <f t="shared" si="2"/>
        <v>134</v>
      </c>
      <c r="N134" s="36" t="s">
        <v>201</v>
      </c>
      <c r="O134" s="44" t="s">
        <v>203</v>
      </c>
      <c r="P134" s="35" t="e">
        <f ca="1">INDEX(INDIRECT($P$2&amp;"!B:B"), MATCH($P$88, INDIRECT($P$2&amp;"!A:A"), 0))</f>
        <v>#REF!</v>
      </c>
    </row>
    <row r="135" spans="2:16" x14ac:dyDescent="0.4">
      <c r="B135" s="12" t="s">
        <v>364</v>
      </c>
      <c r="C135" s="57">
        <v>32</v>
      </c>
      <c r="J135" s="5"/>
      <c r="K135" s="5"/>
      <c r="M135" s="3">
        <f t="shared" si="2"/>
        <v>135</v>
      </c>
      <c r="N135" s="36" t="s">
        <v>214</v>
      </c>
      <c r="O135" s="44" t="s">
        <v>133</v>
      </c>
      <c r="P135" s="2" t="e">
        <f ca="1">$C$7+$J$327/2</f>
        <v>#REF!</v>
      </c>
    </row>
    <row r="136" spans="2:16" x14ac:dyDescent="0.4">
      <c r="B136" s="12" t="s">
        <v>365</v>
      </c>
      <c r="C136" s="57">
        <v>33</v>
      </c>
      <c r="H136" s="27" t="s">
        <v>507</v>
      </c>
      <c r="J136" s="5"/>
      <c r="M136" s="3">
        <f t="shared" si="2"/>
        <v>136</v>
      </c>
      <c r="N136" s="36" t="s">
        <v>215</v>
      </c>
      <c r="O136" s="44" t="s">
        <v>134</v>
      </c>
      <c r="P136" s="2" t="e">
        <f>$C$7+$J$328/2</f>
        <v>#VALUE!</v>
      </c>
    </row>
    <row r="137" spans="2:16" x14ac:dyDescent="0.4">
      <c r="B137" s="12" t="s">
        <v>366</v>
      </c>
      <c r="C137" s="57">
        <v>36</v>
      </c>
      <c r="G137" s="3" t="s">
        <v>464</v>
      </c>
      <c r="H137" s="9" t="s">
        <v>358</v>
      </c>
      <c r="I137" s="11" t="s">
        <v>73</v>
      </c>
      <c r="J137" s="56">
        <f>$C$126</f>
        <v>2</v>
      </c>
      <c r="K137" s="42"/>
      <c r="M137" s="3">
        <f t="shared" si="2"/>
        <v>137</v>
      </c>
      <c r="N137" s="36" t="s">
        <v>218</v>
      </c>
      <c r="O137" s="44" t="s">
        <v>407</v>
      </c>
      <c r="P137" s="2" t="e">
        <f>SQRT($P$136^2-$P$65^2)</f>
        <v>#VALUE!</v>
      </c>
    </row>
    <row r="138" spans="2:16" ht="15" thickBot="1" x14ac:dyDescent="0.45">
      <c r="B138" s="12" t="s">
        <v>367</v>
      </c>
      <c r="C138" s="57">
        <v>41</v>
      </c>
      <c r="G138" s="3" t="s">
        <v>75</v>
      </c>
      <c r="H138" s="63" t="s">
        <v>529</v>
      </c>
      <c r="I138" s="64" t="s">
        <v>75</v>
      </c>
      <c r="J138" s="65" t="e">
        <f>$J$13</f>
        <v>#NUM!</v>
      </c>
      <c r="K138" s="26" t="e">
        <f>-$C$119+$J$138</f>
        <v>#NUM!</v>
      </c>
      <c r="M138" s="3">
        <f t="shared" si="2"/>
        <v>138</v>
      </c>
      <c r="N138" s="36" t="s">
        <v>219</v>
      </c>
      <c r="O138" s="44" t="s">
        <v>407</v>
      </c>
      <c r="P138" s="2" t="e">
        <f ca="1">SQRT($P$135^2-$J$4^2)</f>
        <v>#REF!</v>
      </c>
    </row>
    <row r="139" spans="2:16" ht="15" thickTop="1" x14ac:dyDescent="0.4">
      <c r="B139" s="12" t="s">
        <v>634</v>
      </c>
      <c r="C139" s="57">
        <v>50</v>
      </c>
      <c r="G139" s="3" t="s">
        <v>481</v>
      </c>
      <c r="H139" s="66" t="s">
        <v>372</v>
      </c>
      <c r="I139" s="67" t="s">
        <v>73</v>
      </c>
      <c r="J139" s="68">
        <f>$C$156</f>
        <v>410000</v>
      </c>
      <c r="M139" s="3">
        <f t="shared" si="2"/>
        <v>139</v>
      </c>
      <c r="N139" s="36" t="s">
        <v>116</v>
      </c>
      <c r="O139" s="44" t="s">
        <v>116</v>
      </c>
      <c r="P139" s="2" t="e">
        <f ca="1">IF($P$137&gt;$P$138, ($P$137-$P$138)/$C$61, 0)</f>
        <v>#VALUE!</v>
      </c>
    </row>
    <row r="140" spans="2:16" x14ac:dyDescent="0.4">
      <c r="G140" s="3" t="s">
        <v>74</v>
      </c>
      <c r="H140" s="9" t="s">
        <v>435</v>
      </c>
      <c r="I140" s="11" t="s">
        <v>74</v>
      </c>
      <c r="J140" s="26" t="e">
        <f>$J$9</f>
        <v>#NUM!</v>
      </c>
      <c r="K140" s="26" t="e">
        <f>$C$118+$J$140</f>
        <v>#NUM!</v>
      </c>
      <c r="M140" s="3">
        <f t="shared" si="2"/>
        <v>140</v>
      </c>
      <c r="N140" s="36" t="s">
        <v>117</v>
      </c>
      <c r="O140" s="44" t="s">
        <v>448</v>
      </c>
      <c r="P140" s="2" t="e">
        <f ca="1">ATAN($P$139)</f>
        <v>#VALUE!</v>
      </c>
    </row>
    <row r="141" spans="2:16" x14ac:dyDescent="0.4">
      <c r="B141" s="4" t="s">
        <v>445</v>
      </c>
      <c r="G141" s="3" t="s">
        <v>466</v>
      </c>
      <c r="H141" s="9" t="s">
        <v>530</v>
      </c>
      <c r="I141" s="11" t="s">
        <v>73</v>
      </c>
      <c r="J141" s="26" t="e">
        <f ca="1">$P$115</f>
        <v>#REF!</v>
      </c>
      <c r="M141" s="3">
        <f t="shared" si="2"/>
        <v>141</v>
      </c>
      <c r="N141" s="36" t="s">
        <v>117</v>
      </c>
      <c r="O141" s="44" t="s">
        <v>449</v>
      </c>
      <c r="P141" s="2" t="e">
        <f ca="1">-RADIANS($J$131)</f>
        <v>#VALUE!</v>
      </c>
    </row>
    <row r="142" spans="2:16" x14ac:dyDescent="0.4">
      <c r="B142" s="12" t="s">
        <v>443</v>
      </c>
      <c r="C142" s="17">
        <v>40</v>
      </c>
      <c r="J142" s="5"/>
      <c r="K142" s="5"/>
      <c r="M142" s="3">
        <f t="shared" si="2"/>
        <v>142</v>
      </c>
      <c r="N142" s="36" t="s">
        <v>280</v>
      </c>
      <c r="O142" s="44" t="s">
        <v>280</v>
      </c>
      <c r="P142" s="2" t="e">
        <f ca="1">SIN($P$141)</f>
        <v>#VALUE!</v>
      </c>
    </row>
    <row r="143" spans="2:16" x14ac:dyDescent="0.4">
      <c r="B143" s="12" t="s">
        <v>444</v>
      </c>
      <c r="C143" s="17">
        <v>32</v>
      </c>
      <c r="H143" s="4" t="s">
        <v>508</v>
      </c>
      <c r="J143" s="25"/>
      <c r="M143" s="3">
        <f t="shared" si="2"/>
        <v>143</v>
      </c>
      <c r="N143" s="36" t="s">
        <v>279</v>
      </c>
      <c r="O143" s="44" t="s">
        <v>279</v>
      </c>
      <c r="P143" s="2" t="e">
        <f ca="1">COS($P$141)</f>
        <v>#VALUE!</v>
      </c>
    </row>
    <row r="144" spans="2:16" x14ac:dyDescent="0.4">
      <c r="B144" s="12" t="s">
        <v>392</v>
      </c>
      <c r="C144" s="17">
        <v>3</v>
      </c>
      <c r="G144" s="3" t="s">
        <v>464</v>
      </c>
      <c r="H144" s="9" t="s">
        <v>358</v>
      </c>
      <c r="I144" s="11" t="s">
        <v>73</v>
      </c>
      <c r="J144" s="56">
        <f>IF($C$33&lt;&gt;1,$C$132,$C$133)</f>
        <v>16</v>
      </c>
      <c r="K144" s="42"/>
      <c r="M144" s="3">
        <f t="shared" si="2"/>
        <v>144</v>
      </c>
      <c r="N144" s="36" t="s">
        <v>216</v>
      </c>
      <c r="O144" s="44" t="s">
        <v>83</v>
      </c>
      <c r="P144" s="2" t="e">
        <f>$C$7-$J$328/2</f>
        <v>#VALUE!</v>
      </c>
    </row>
    <row r="145" spans="2:16" x14ac:dyDescent="0.4">
      <c r="G145" s="3" t="s">
        <v>481</v>
      </c>
      <c r="H145" s="9" t="s">
        <v>372</v>
      </c>
      <c r="I145" s="11" t="s">
        <v>73</v>
      </c>
      <c r="J145" s="56">
        <f>$C$157</f>
        <v>420000</v>
      </c>
      <c r="M145" s="3">
        <f t="shared" si="2"/>
        <v>145</v>
      </c>
      <c r="N145" s="36" t="s">
        <v>217</v>
      </c>
      <c r="O145" s="44" t="s">
        <v>84</v>
      </c>
      <c r="P145" s="2" t="e">
        <f ca="1">$C$7-$J$329/2</f>
        <v>#REF!</v>
      </c>
    </row>
    <row r="146" spans="2:16" x14ac:dyDescent="0.4">
      <c r="B146" s="4" t="s">
        <v>372</v>
      </c>
      <c r="G146" s="3" t="s">
        <v>77</v>
      </c>
      <c r="H146" s="9" t="s">
        <v>451</v>
      </c>
      <c r="I146" s="11" t="s">
        <v>77</v>
      </c>
      <c r="J146" s="26">
        <f>$P$22</f>
        <v>0</v>
      </c>
      <c r="K146" s="42"/>
      <c r="M146" s="3">
        <f t="shared" si="2"/>
        <v>146</v>
      </c>
      <c r="N146" s="36" t="s">
        <v>220</v>
      </c>
      <c r="O146" s="44" t="s">
        <v>411</v>
      </c>
      <c r="P146" s="2" t="e">
        <f ca="1">SQRT($P$145^2-$P$72^2)</f>
        <v>#REF!</v>
      </c>
    </row>
    <row r="147" spans="2:16" x14ac:dyDescent="0.4">
      <c r="B147" s="12" t="s">
        <v>373</v>
      </c>
      <c r="C147" s="57">
        <v>110001</v>
      </c>
      <c r="G147" s="3" t="s">
        <v>76</v>
      </c>
      <c r="H147" s="9" t="s">
        <v>452</v>
      </c>
      <c r="I147" s="11" t="s">
        <v>76</v>
      </c>
      <c r="J147" s="26">
        <f>$P$23</f>
        <v>0</v>
      </c>
      <c r="K147" s="42"/>
      <c r="M147" s="3">
        <f t="shared" si="2"/>
        <v>147</v>
      </c>
      <c r="N147" s="36" t="s">
        <v>221</v>
      </c>
      <c r="O147" s="44" t="s">
        <v>411</v>
      </c>
      <c r="P147" s="2" t="e">
        <f>SQRT($P$144^2-$P$65^2)</f>
        <v>#VALUE!</v>
      </c>
    </row>
    <row r="148" spans="2:16" x14ac:dyDescent="0.4">
      <c r="B148" s="12" t="s">
        <v>374</v>
      </c>
      <c r="C148" s="57">
        <v>110002</v>
      </c>
      <c r="G148" s="3" t="s">
        <v>472</v>
      </c>
      <c r="H148" s="9" t="s">
        <v>55</v>
      </c>
      <c r="I148" s="11" t="s">
        <v>77</v>
      </c>
      <c r="J148" s="26">
        <f>$P$16</f>
        <v>0</v>
      </c>
      <c r="K148" s="59"/>
      <c r="M148" s="3">
        <f t="shared" si="2"/>
        <v>148</v>
      </c>
      <c r="N148" s="36" t="s">
        <v>118</v>
      </c>
      <c r="P148" s="2" t="e">
        <f ca="1">($P146-$P147)/($P$65-$P$72)</f>
        <v>#REF!</v>
      </c>
    </row>
    <row r="149" spans="2:16" x14ac:dyDescent="0.4">
      <c r="B149" s="12" t="s">
        <v>375</v>
      </c>
      <c r="C149" s="57">
        <v>120001</v>
      </c>
      <c r="G149" s="3" t="s">
        <v>474</v>
      </c>
      <c r="H149" s="9" t="s">
        <v>8</v>
      </c>
      <c r="I149" s="11" t="s">
        <v>76</v>
      </c>
      <c r="J149" s="26">
        <f>$P$17</f>
        <v>0</v>
      </c>
      <c r="K149" s="59"/>
      <c r="M149" s="3">
        <f t="shared" si="2"/>
        <v>149</v>
      </c>
      <c r="N149" s="36" t="s">
        <v>119</v>
      </c>
      <c r="O149" s="44" t="s">
        <v>90</v>
      </c>
      <c r="P149" s="2" t="e">
        <f ca="1">ATAN($P$148)</f>
        <v>#REF!</v>
      </c>
    </row>
    <row r="150" spans="2:16" x14ac:dyDescent="0.4">
      <c r="B150" s="12" t="s">
        <v>376</v>
      </c>
      <c r="C150" s="57">
        <v>130001</v>
      </c>
      <c r="G150" s="3" t="s">
        <v>74</v>
      </c>
      <c r="H150" s="9" t="s">
        <v>435</v>
      </c>
      <c r="I150" s="11" t="s">
        <v>74</v>
      </c>
      <c r="J150" s="26" t="e">
        <f>$J$9</f>
        <v>#NUM!</v>
      </c>
      <c r="K150" s="26" t="e">
        <f>$C$118+$J$150</f>
        <v>#NUM!</v>
      </c>
      <c r="M150" s="3">
        <f>ROW(M150)</f>
        <v>150</v>
      </c>
      <c r="N150" s="36" t="s">
        <v>121</v>
      </c>
      <c r="O150" s="44" t="s">
        <v>412</v>
      </c>
      <c r="P150" s="2">
        <f>IF(MOD($C$66, 2)=0, $C$64, $C$65)</f>
        <v>0</v>
      </c>
    </row>
    <row r="151" spans="2:16" x14ac:dyDescent="0.4">
      <c r="B151" s="12" t="s">
        <v>377</v>
      </c>
      <c r="C151" s="57">
        <v>130002</v>
      </c>
      <c r="G151" s="3" t="s">
        <v>466</v>
      </c>
      <c r="H151" s="9" t="s">
        <v>475</v>
      </c>
      <c r="I151" s="11" t="s">
        <v>73</v>
      </c>
      <c r="J151" s="26">
        <f>$C$40</f>
        <v>0</v>
      </c>
      <c r="K151" s="59"/>
      <c r="M151" s="3">
        <f t="shared" si="2"/>
        <v>151</v>
      </c>
      <c r="N151" s="36" t="s">
        <v>120</v>
      </c>
      <c r="O151" s="44" t="s">
        <v>413</v>
      </c>
      <c r="P151" s="2">
        <f>IF(MOD($C$66, 2)=0, $C$65, $C$64)</f>
        <v>0</v>
      </c>
    </row>
    <row r="152" spans="2:16" x14ac:dyDescent="0.4">
      <c r="B152" s="12" t="s">
        <v>378</v>
      </c>
      <c r="C152" s="57">
        <v>140001</v>
      </c>
      <c r="G152" s="3" t="s">
        <v>471</v>
      </c>
      <c r="H152" s="9" t="s">
        <v>356</v>
      </c>
      <c r="I152" s="11" t="s">
        <v>74</v>
      </c>
      <c r="J152" s="26">
        <f>IF($C$35&lt;&gt;1, $J$195+$J$196, $P$25)</f>
        <v>0</v>
      </c>
      <c r="K152" s="59"/>
      <c r="M152" s="3">
        <f t="shared" si="2"/>
        <v>152</v>
      </c>
      <c r="N152" s="36" t="s">
        <v>222</v>
      </c>
      <c r="O152" s="44" t="s">
        <v>128</v>
      </c>
      <c r="P152" s="2" t="e">
        <f ca="1">$J$327/2-$J$317-$P$150/2</f>
        <v>#REF!</v>
      </c>
    </row>
    <row r="153" spans="2:16" x14ac:dyDescent="0.4">
      <c r="B153" s="12" t="s">
        <v>589</v>
      </c>
      <c r="C153" s="57">
        <v>150002</v>
      </c>
      <c r="G153" s="3" t="s">
        <v>467</v>
      </c>
      <c r="H153" s="9" t="s">
        <v>30</v>
      </c>
      <c r="I153" s="11" t="s">
        <v>74</v>
      </c>
      <c r="J153" s="26">
        <f>$J$195</f>
        <v>0</v>
      </c>
      <c r="K153" s="59"/>
      <c r="M153" s="3">
        <f t="shared" si="2"/>
        <v>153</v>
      </c>
      <c r="N153" s="36" t="s">
        <v>223</v>
      </c>
      <c r="O153" s="44" t="s">
        <v>129</v>
      </c>
      <c r="P153" s="2" t="e">
        <f ca="1">$J$327/2-$J$318-$P$151/2</f>
        <v>#REF!</v>
      </c>
    </row>
    <row r="154" spans="2:16" x14ac:dyDescent="0.4">
      <c r="B154" s="12" t="s">
        <v>647</v>
      </c>
      <c r="C154" s="57">
        <v>160003</v>
      </c>
      <c r="G154" s="3" t="s">
        <v>463</v>
      </c>
      <c r="H154" s="9" t="s">
        <v>31</v>
      </c>
      <c r="I154" s="11" t="s">
        <v>74</v>
      </c>
      <c r="J154" s="26">
        <f>$J$196</f>
        <v>0</v>
      </c>
      <c r="K154" s="59"/>
      <c r="M154" s="3">
        <f t="shared" si="2"/>
        <v>154</v>
      </c>
      <c r="N154" s="36" t="s">
        <v>225</v>
      </c>
      <c r="O154" s="44" t="str">
        <f>IF($C$66&gt;=3,"λj ≦ q &lt; λj+1 の wBj", "-")</f>
        <v>-</v>
      </c>
      <c r="P154" s="35" t="str">
        <f ca="1">IF($C$66&gt;=3, INDEX(INDIRECT($P$2&amp;"!C:C"), MATCH($P$73, INDIRECT($P$2&amp;"!A:A"), 0)),"-")</f>
        <v>-</v>
      </c>
    </row>
    <row r="155" spans="2:16" x14ac:dyDescent="0.4">
      <c r="B155" s="12" t="s">
        <v>414</v>
      </c>
      <c r="C155" s="57">
        <v>210003</v>
      </c>
      <c r="H155" s="18"/>
      <c r="I155" s="20"/>
      <c r="J155" s="5"/>
      <c r="M155" s="3">
        <f t="shared" si="2"/>
        <v>155</v>
      </c>
      <c r="N155" s="36" t="s">
        <v>226</v>
      </c>
      <c r="O155" s="44" t="str">
        <f>IF($C$66&gt;=4,"λj ≦ q+pz &lt; λj+1 の wBj", "-")</f>
        <v>-</v>
      </c>
      <c r="P155" s="35" t="str">
        <f ca="1">IF($C$66&gt;=4, INDEX(INDIRECT($P$2&amp;"!C:C"), MATCH($P$74, INDIRECT($P$2&amp;"!A:A"), 0)),"-")</f>
        <v>-</v>
      </c>
    </row>
    <row r="156" spans="2:16" x14ac:dyDescent="0.4">
      <c r="B156" s="12" t="s">
        <v>415</v>
      </c>
      <c r="C156" s="57">
        <v>410000</v>
      </c>
      <c r="H156" s="4" t="s">
        <v>580</v>
      </c>
      <c r="J156" s="25"/>
      <c r="M156" s="3">
        <f t="shared" si="2"/>
        <v>156</v>
      </c>
      <c r="N156" s="36" t="s">
        <v>227</v>
      </c>
      <c r="O156" s="44" t="str">
        <f>IF($C$66&gt;=5,"λj ≦ q+2pz &lt; λj+1 の wBj", "-")</f>
        <v>-</v>
      </c>
      <c r="P156" s="35" t="str">
        <f ca="1">IF($C$66&gt;=5, INDEX(INDIRECT($P$2&amp;"!C:C"), MATCH($P$75, INDIRECT($P$2&amp;"!A:A"), 0)),"-")</f>
        <v>-</v>
      </c>
    </row>
    <row r="157" spans="2:16" x14ac:dyDescent="0.4">
      <c r="B157" s="12" t="s">
        <v>416</v>
      </c>
      <c r="C157" s="57">
        <v>420000</v>
      </c>
      <c r="G157" s="3" t="s">
        <v>464</v>
      </c>
      <c r="H157" s="9" t="s">
        <v>358</v>
      </c>
      <c r="I157" s="11" t="s">
        <v>73</v>
      </c>
      <c r="J157" s="56">
        <f>$C$132</f>
        <v>16</v>
      </c>
      <c r="K157" s="42"/>
      <c r="M157" s="3">
        <f t="shared" si="2"/>
        <v>157</v>
      </c>
      <c r="N157" s="36" t="s">
        <v>228</v>
      </c>
      <c r="O157" s="44" t="str">
        <f>IF($C$66&gt;=6,"λj ≦ q+3pz &lt; λj+1 の wBj", "-")</f>
        <v>-</v>
      </c>
      <c r="P157" s="35" t="str">
        <f ca="1">IF($C$66&gt;=6, INDEX(INDIRECT($P$2&amp;"!C:C"), MATCH($P$76, INDIRECT($P$2&amp;"!A:A"), 0)),"-")</f>
        <v>-</v>
      </c>
    </row>
    <row r="158" spans="2:16" x14ac:dyDescent="0.4">
      <c r="B158" s="12" t="s">
        <v>587</v>
      </c>
      <c r="C158" s="57">
        <v>421000</v>
      </c>
      <c r="G158" s="3" t="s">
        <v>481</v>
      </c>
      <c r="H158" s="9" t="s">
        <v>372</v>
      </c>
      <c r="I158" s="11" t="s">
        <v>73</v>
      </c>
      <c r="J158" s="56" t="str">
        <f>IF($C$98&lt;&gt;0, $C$163, "")</f>
        <v/>
      </c>
      <c r="M158" s="3">
        <f t="shared" si="2"/>
        <v>158</v>
      </c>
      <c r="N158" s="36" t="s">
        <v>229</v>
      </c>
      <c r="O158" s="44" t="str">
        <f>IF($C$66&gt;=7,"λj ≦ q+4pz &lt; λj+1 の wBj", "-")</f>
        <v>-</v>
      </c>
      <c r="P158" s="35" t="str">
        <f ca="1">IF($C$66&gt;=7, INDEX(INDIRECT($P$2&amp;"!C:C"), MATCH($P$77, INDIRECT($P$2&amp;"!A:A"), 0)),"-")</f>
        <v>-</v>
      </c>
    </row>
    <row r="159" spans="2:16" x14ac:dyDescent="0.4">
      <c r="B159" s="12" t="s">
        <v>417</v>
      </c>
      <c r="C159" s="57">
        <v>430000</v>
      </c>
      <c r="G159" s="3" t="s">
        <v>468</v>
      </c>
      <c r="H159" s="9" t="s">
        <v>575</v>
      </c>
      <c r="I159" s="11" t="s">
        <v>77</v>
      </c>
      <c r="J159" s="26">
        <f>$C$99</f>
        <v>0</v>
      </c>
      <c r="M159" s="3">
        <f t="shared" si="2"/>
        <v>159</v>
      </c>
      <c r="N159" s="36" t="s">
        <v>230</v>
      </c>
      <c r="O159" s="44" t="str">
        <f>IF($C$66&gt;=8,"λj ≦ q+5pz &lt; λj+1 の wBj", "-")</f>
        <v>-</v>
      </c>
      <c r="P159" s="35" t="str">
        <f ca="1">IF($C$66&gt;=8, INDEX(INDIRECT($P$2&amp;"!C:C"), MATCH($P$78, INDIRECT($P$2&amp;"!A:A"), 0)),"-")</f>
        <v>-</v>
      </c>
    </row>
    <row r="160" spans="2:16" x14ac:dyDescent="0.4">
      <c r="B160" s="12" t="s">
        <v>418</v>
      </c>
      <c r="C160" s="57">
        <v>440000</v>
      </c>
      <c r="G160" s="3" t="s">
        <v>472</v>
      </c>
      <c r="H160" s="9" t="s">
        <v>582</v>
      </c>
      <c r="I160" s="11" t="s">
        <v>77</v>
      </c>
      <c r="J160" s="26">
        <f>$C$100</f>
        <v>0</v>
      </c>
      <c r="M160" s="3">
        <f t="shared" si="2"/>
        <v>160</v>
      </c>
      <c r="N160" s="36" t="s">
        <v>231</v>
      </c>
      <c r="O160" s="44" t="s">
        <v>241</v>
      </c>
      <c r="P160" s="35" t="e">
        <f ca="1">INDEX(INDIRECT($P$2&amp;"!C:C"), MATCH($P$79, INDIRECT($P$2&amp;"!A:A"), 0))</f>
        <v>#REF!</v>
      </c>
    </row>
    <row r="161" spans="2:16" x14ac:dyDescent="0.4">
      <c r="B161" s="12" t="s">
        <v>648</v>
      </c>
      <c r="C161" s="57">
        <v>441000</v>
      </c>
      <c r="G161" s="3" t="s">
        <v>474</v>
      </c>
      <c r="H161" s="9" t="s">
        <v>583</v>
      </c>
      <c r="I161" s="11" t="s">
        <v>76</v>
      </c>
      <c r="J161" s="26">
        <f>$C$101</f>
        <v>0</v>
      </c>
      <c r="M161" s="3">
        <f t="shared" si="2"/>
        <v>161</v>
      </c>
      <c r="N161" s="36" t="s">
        <v>232</v>
      </c>
      <c r="O161" s="44" t="s">
        <v>242</v>
      </c>
      <c r="P161" s="35" t="e">
        <f ca="1">INDEX(INDIRECT($P$2&amp;"!C:C"), MATCH($P$80, INDIRECT($P$2&amp;"!A:A"), 0))</f>
        <v>#REF!</v>
      </c>
    </row>
    <row r="162" spans="2:16" x14ac:dyDescent="0.4">
      <c r="B162" s="12" t="s">
        <v>419</v>
      </c>
      <c r="C162" s="57">
        <v>450000</v>
      </c>
      <c r="G162" s="3" t="s">
        <v>463</v>
      </c>
      <c r="H162" s="9" t="s">
        <v>584</v>
      </c>
      <c r="I162" s="11" t="s">
        <v>74</v>
      </c>
      <c r="J162" s="26">
        <f>$C$103</f>
        <v>0</v>
      </c>
      <c r="M162" s="3">
        <f t="shared" si="2"/>
        <v>162</v>
      </c>
      <c r="N162" s="36" t="s">
        <v>233</v>
      </c>
      <c r="O162" s="44" t="str">
        <f>IF($C$66&gt;=3,"λj ≦ q &lt; λj+1 の wBj+1", "-")</f>
        <v>-</v>
      </c>
      <c r="P162" s="35" t="str">
        <f ca="1">IF($C$66&gt;=3, INDEX(INDIRECT($P$2&amp;"!C:C"), MATCH($P$81, INDIRECT($P$2&amp;"!A:A"), 0)),"-")</f>
        <v>-</v>
      </c>
    </row>
    <row r="163" spans="2:16" x14ac:dyDescent="0.4">
      <c r="B163" s="12" t="s">
        <v>581</v>
      </c>
      <c r="C163" s="57">
        <v>460000</v>
      </c>
      <c r="G163" s="3" t="s">
        <v>466</v>
      </c>
      <c r="H163" s="9" t="s">
        <v>585</v>
      </c>
      <c r="I163" s="11" t="s">
        <v>73</v>
      </c>
      <c r="J163" s="26">
        <f>$C$102</f>
        <v>0</v>
      </c>
      <c r="M163" s="3">
        <f t="shared" si="2"/>
        <v>163</v>
      </c>
      <c r="N163" s="36" t="s">
        <v>234</v>
      </c>
      <c r="O163" s="44" t="str">
        <f>IF($C$66&gt;=4,"λj ≦ q+pz &lt; λj+1 の wBj+1", "-")</f>
        <v>-</v>
      </c>
      <c r="P163" s="35" t="str">
        <f ca="1">IF($C$66&gt;=4, INDEX(INDIRECT($P$2&amp;"!C:C"), MATCH($P$82, INDIRECT($P$2&amp;"!A:A"), 0)),"-")</f>
        <v>-</v>
      </c>
    </row>
    <row r="164" spans="2:16" x14ac:dyDescent="0.4">
      <c r="B164" s="12" t="s">
        <v>598</v>
      </c>
      <c r="C164" s="57">
        <v>470000</v>
      </c>
      <c r="G164" s="3" t="s">
        <v>472</v>
      </c>
      <c r="H164" s="9" t="s">
        <v>55</v>
      </c>
      <c r="I164" s="11" t="s">
        <v>77</v>
      </c>
      <c r="J164" s="26">
        <f>$P$16</f>
        <v>0</v>
      </c>
      <c r="K164" s="59"/>
      <c r="M164" s="3">
        <f t="shared" si="2"/>
        <v>164</v>
      </c>
      <c r="N164" s="36" t="s">
        <v>235</v>
      </c>
      <c r="O164" s="44" t="str">
        <f>IF($C$66&gt;=5,"λj ≦ q+2pz &lt; λj+1 の wBj+1", "-")</f>
        <v>-</v>
      </c>
      <c r="P164" s="35" t="str">
        <f ca="1">IF($C$66&gt;=5, INDEX(INDIRECT($P$2&amp;"!C:C"), MATCH($P$83, INDIRECT($P$2&amp;"!A:A"), 0)),"-")</f>
        <v>-</v>
      </c>
    </row>
    <row r="165" spans="2:16" x14ac:dyDescent="0.4">
      <c r="B165" s="12" t="s">
        <v>652</v>
      </c>
      <c r="C165" s="57">
        <v>900003</v>
      </c>
      <c r="G165" s="3" t="s">
        <v>474</v>
      </c>
      <c r="H165" s="9" t="s">
        <v>8</v>
      </c>
      <c r="I165" s="11" t="s">
        <v>76</v>
      </c>
      <c r="J165" s="26">
        <f>$P$17</f>
        <v>0</v>
      </c>
      <c r="K165" s="59"/>
      <c r="M165" s="3">
        <f t="shared" si="2"/>
        <v>165</v>
      </c>
      <c r="N165" s="36" t="s">
        <v>236</v>
      </c>
      <c r="O165" s="44" t="str">
        <f>IF($C$66&gt;=6,"λj ≦ q+3pz &lt; λj+1 の wBj+1", "-")</f>
        <v>-</v>
      </c>
      <c r="P165" s="35" t="str">
        <f ca="1">IF($C$66&gt;=6, INDEX(INDIRECT($P$2&amp;"!C:C"), MATCH($P$84, INDIRECT($P$2&amp;"!A:A"), 0)),"-")</f>
        <v>-</v>
      </c>
    </row>
    <row r="166" spans="2:16" x14ac:dyDescent="0.4">
      <c r="B166" s="12" t="s">
        <v>653</v>
      </c>
      <c r="C166" s="57">
        <v>910001</v>
      </c>
      <c r="G166" s="3" t="s">
        <v>74</v>
      </c>
      <c r="H166" s="9" t="s">
        <v>435</v>
      </c>
      <c r="I166" s="11" t="s">
        <v>74</v>
      </c>
      <c r="J166" s="26" t="e">
        <f>$J$9</f>
        <v>#NUM!</v>
      </c>
      <c r="K166" s="26" t="e">
        <f>$C$118+$J$150</f>
        <v>#NUM!</v>
      </c>
      <c r="M166" s="3">
        <f t="shared" si="2"/>
        <v>166</v>
      </c>
      <c r="N166" s="36" t="s">
        <v>237</v>
      </c>
      <c r="O166" s="44" t="str">
        <f>IF($C$66&gt;=7,"λj ≦ q+4pz &lt; λj+1 の wBj+1", "-")</f>
        <v>-</v>
      </c>
      <c r="P166" s="35" t="str">
        <f ca="1">IF($C$66&gt;=7, INDEX(INDIRECT($P$2&amp;"!C:C"), MATCH($P$85, INDIRECT($P$2&amp;"!A:A"), 0)),"-")</f>
        <v>-</v>
      </c>
    </row>
    <row r="167" spans="2:16" x14ac:dyDescent="0.4">
      <c r="B167" s="12" t="s">
        <v>654</v>
      </c>
      <c r="C167" s="57">
        <v>910002</v>
      </c>
      <c r="H167" s="18"/>
      <c r="I167" s="20"/>
      <c r="J167" s="5"/>
      <c r="M167" s="3">
        <f t="shared" si="2"/>
        <v>167</v>
      </c>
      <c r="N167" s="36" t="s">
        <v>238</v>
      </c>
      <c r="O167" s="44" t="str">
        <f>IF($C$66&gt;=8,"λj ≦ q+5pz &lt; λj+1 の wBj+1", "-")</f>
        <v>-</v>
      </c>
      <c r="P167" s="35" t="str">
        <f ca="1">IF($C$66&gt;=8, INDEX(INDIRECT($P$2&amp;"!C:C"), MATCH($P$86, INDIRECT($P$2&amp;"!A:A"), 0)),"-")</f>
        <v>-</v>
      </c>
    </row>
    <row r="168" spans="2:16" x14ac:dyDescent="0.4">
      <c r="H168" s="4" t="s">
        <v>597</v>
      </c>
      <c r="J168" s="25"/>
      <c r="M168" s="3">
        <f t="shared" si="2"/>
        <v>168</v>
      </c>
      <c r="N168" s="36" t="s">
        <v>239</v>
      </c>
      <c r="O168" s="44" t="s">
        <v>243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533</v>
      </c>
      <c r="G169" s="3" t="s">
        <v>464</v>
      </c>
      <c r="H169" s="9" t="s">
        <v>358</v>
      </c>
      <c r="I169" s="11" t="s">
        <v>73</v>
      </c>
      <c r="J169" s="56">
        <f>IF($C$33&lt;&gt;1,$C$132,$C$133)</f>
        <v>16</v>
      </c>
      <c r="K169" s="42"/>
      <c r="M169" s="3">
        <f t="shared" si="2"/>
        <v>169</v>
      </c>
      <c r="N169" s="36" t="s">
        <v>240</v>
      </c>
      <c r="O169" s="44" t="s">
        <v>244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534</v>
      </c>
      <c r="C170" s="57">
        <v>200</v>
      </c>
      <c r="G170" s="3" t="s">
        <v>481</v>
      </c>
      <c r="H170" s="9" t="s">
        <v>372</v>
      </c>
      <c r="I170" s="11" t="s">
        <v>73</v>
      </c>
      <c r="J170" s="56" t="str">
        <f>IF($C$105&lt;&gt;0, $C$164, "")</f>
        <v/>
      </c>
      <c r="M170" s="3">
        <f t="shared" si="2"/>
        <v>170</v>
      </c>
      <c r="N170" s="36" t="s">
        <v>261</v>
      </c>
      <c r="O170" s="45" t="str">
        <f>IF($C$66&gt;=4,"2列目AC内径（水平・めっき含・概算）","-")</f>
        <v>-</v>
      </c>
      <c r="P170" s="35" t="str">
        <f>IF($C$66&gt;=4,($P$90*$P$128+$P$98*$P$120)/($P$82-$P$74)+$C$19*2,"-")</f>
        <v>-</v>
      </c>
    </row>
    <row r="171" spans="2:16" x14ac:dyDescent="0.4">
      <c r="B171" s="12" t="s">
        <v>535</v>
      </c>
      <c r="C171" s="57">
        <v>300</v>
      </c>
      <c r="G171" s="3" t="s">
        <v>77</v>
      </c>
      <c r="H171" s="9" t="s">
        <v>599</v>
      </c>
      <c r="I171" s="11" t="s">
        <v>77</v>
      </c>
      <c r="J171" s="26">
        <f>$C$106</f>
        <v>0</v>
      </c>
      <c r="K171" s="59"/>
      <c r="M171" s="3">
        <f t="shared" si="2"/>
        <v>171</v>
      </c>
      <c r="N171" s="36" t="s">
        <v>262</v>
      </c>
      <c r="O171" s="45" t="str">
        <f>IF($C$66&gt;=5,"3列目AC内径（水平・めっき含・概算）","-")</f>
        <v>-</v>
      </c>
      <c r="P171" s="35" t="str">
        <f>IF($C$66&gt;=5,($P$91*$P$129+$P$99*$P$121)/($P$83-$P$75)+$C$19*2,"-")</f>
        <v>-</v>
      </c>
    </row>
    <row r="172" spans="2:16" x14ac:dyDescent="0.4">
      <c r="B172" s="12" t="s">
        <v>536</v>
      </c>
      <c r="C172" s="57">
        <v>400</v>
      </c>
      <c r="G172" s="3" t="s">
        <v>76</v>
      </c>
      <c r="H172" s="9" t="s">
        <v>600</v>
      </c>
      <c r="I172" s="11" t="s">
        <v>76</v>
      </c>
      <c r="J172" s="26">
        <f>$C$107</f>
        <v>0</v>
      </c>
      <c r="K172" s="59"/>
      <c r="M172" s="3">
        <f t="shared" si="2"/>
        <v>172</v>
      </c>
      <c r="N172" s="36" t="s">
        <v>263</v>
      </c>
      <c r="O172" s="45" t="str">
        <f>IF($C$66&gt;=6,"4列目AC内径（水平・めっき含・概算）","-")</f>
        <v>-</v>
      </c>
      <c r="P172" s="35" t="str">
        <f>IF($C$66&gt;=6,($P$92*$P$130+$P$100*$P$122)/($P$84-$P$76)+$C$19*2,"-")</f>
        <v>-</v>
      </c>
    </row>
    <row r="173" spans="2:16" x14ac:dyDescent="0.4">
      <c r="B173" s="12" t="s">
        <v>537</v>
      </c>
      <c r="C173" s="57">
        <v>410</v>
      </c>
      <c r="G173" s="3" t="s">
        <v>74</v>
      </c>
      <c r="H173" s="9" t="s">
        <v>435</v>
      </c>
      <c r="I173" s="11" t="s">
        <v>74</v>
      </c>
      <c r="J173" s="26" t="e">
        <f>$J$9</f>
        <v>#NUM!</v>
      </c>
      <c r="K173" s="26" t="e">
        <f>$C$118+$J$150</f>
        <v>#NUM!</v>
      </c>
      <c r="M173" s="3">
        <f t="shared" si="2"/>
        <v>173</v>
      </c>
      <c r="N173" s="36" t="s">
        <v>264</v>
      </c>
      <c r="O173" s="45" t="str">
        <f>IF($C$66&gt;=7,"5列目AC内径（水平・めっき含・概算）","-")</f>
        <v>-</v>
      </c>
      <c r="P173" s="35" t="str">
        <f>IF($C$66&gt;=7,($P$93*$P$131+$P$101*$P$123)/($P$85-$P$77)+$C$19*2,"-")</f>
        <v>-</v>
      </c>
    </row>
    <row r="174" spans="2:16" x14ac:dyDescent="0.4">
      <c r="B174" s="12" t="s">
        <v>538</v>
      </c>
      <c r="C174" s="57">
        <v>420</v>
      </c>
      <c r="G174" s="3" t="s">
        <v>466</v>
      </c>
      <c r="H174" s="9" t="s">
        <v>602</v>
      </c>
      <c r="I174" s="11" t="s">
        <v>73</v>
      </c>
      <c r="J174" s="26">
        <f>$C$109</f>
        <v>0</v>
      </c>
      <c r="K174" s="59"/>
      <c r="M174" s="3">
        <f t="shared" si="2"/>
        <v>174</v>
      </c>
      <c r="N174" s="36" t="s">
        <v>265</v>
      </c>
      <c r="O174" s="45" t="str">
        <f>IF($C$66&gt;=8,"6列目AC内径（水平・めっき含・概算）","-")</f>
        <v>-</v>
      </c>
      <c r="P174" s="35" t="str">
        <f>IF($C$66&gt;=8,($P$94*$P$132+$P$102*$P$124)/($P$86-$P$78)+$C$19*2,"-")</f>
        <v>-</v>
      </c>
    </row>
    <row r="175" spans="2:16" x14ac:dyDescent="0.4">
      <c r="B175" s="12" t="s">
        <v>539</v>
      </c>
      <c r="C175" s="57">
        <v>430</v>
      </c>
      <c r="G175" s="3" t="s">
        <v>471</v>
      </c>
      <c r="H175" s="9" t="s">
        <v>601</v>
      </c>
      <c r="I175" s="11" t="s">
        <v>74</v>
      </c>
      <c r="J175" s="26">
        <f>$C$108</f>
        <v>0</v>
      </c>
      <c r="K175" s="59"/>
      <c r="M175" s="3">
        <f t="shared" si="2"/>
        <v>175</v>
      </c>
      <c r="N175" s="36" t="s">
        <v>266</v>
      </c>
      <c r="O175" s="45" t="s">
        <v>251</v>
      </c>
      <c r="P175" s="2" t="e">
        <f ca="1">($P$95*$P$133+$P$103*$P$125)/($P$87-$P$79)+$C$19*2</f>
        <v>#REF!</v>
      </c>
    </row>
    <row r="176" spans="2:16" x14ac:dyDescent="0.4">
      <c r="B176" s="12" t="s">
        <v>540</v>
      </c>
      <c r="C176" s="57">
        <v>440</v>
      </c>
      <c r="J176" s="5"/>
      <c r="M176" s="3">
        <f t="shared" si="2"/>
        <v>176</v>
      </c>
      <c r="N176" s="36" t="s">
        <v>210</v>
      </c>
      <c r="O176" s="45" t="s">
        <v>253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541</v>
      </c>
      <c r="C177" s="57">
        <v>450</v>
      </c>
      <c r="H177" s="22" t="s">
        <v>573</v>
      </c>
      <c r="I177" s="53"/>
      <c r="J177" s="25"/>
      <c r="M177" s="3">
        <f t="shared" si="2"/>
        <v>177</v>
      </c>
      <c r="N177" s="36" t="s">
        <v>250</v>
      </c>
      <c r="O177" s="45" t="str">
        <f>IF($C$66&gt;=3,"1列目 BD内径（めっき含・概算）","-")</f>
        <v>-</v>
      </c>
      <c r="P177" s="35" t="str">
        <f>IF($C$66&gt;=3,($P$89*$P$162+$P$97*$P$154)/($P$81-$P$73)+$C$19*2,"-")</f>
        <v>-</v>
      </c>
    </row>
    <row r="178" spans="2:16" x14ac:dyDescent="0.4">
      <c r="B178" s="12" t="s">
        <v>542</v>
      </c>
      <c r="C178" s="57">
        <v>500</v>
      </c>
      <c r="G178" s="3" t="s">
        <v>464</v>
      </c>
      <c r="H178" s="9" t="s">
        <v>358</v>
      </c>
      <c r="I178" s="11" t="s">
        <v>73</v>
      </c>
      <c r="J178" s="56">
        <f>IF($J$196&gt;=7.1, $C$127, $C$128)</f>
        <v>8</v>
      </c>
      <c r="K178" s="42"/>
      <c r="M178" s="3">
        <f t="shared" si="2"/>
        <v>178</v>
      </c>
      <c r="N178" s="36" t="s">
        <v>255</v>
      </c>
      <c r="O178" s="45" t="str">
        <f>IF($C$66&gt;=4,"2列目 BD内径（めっき含・概算）","-")</f>
        <v>-</v>
      </c>
      <c r="P178" s="35" t="str">
        <f>IF($C$66&gt;=4,($P$90*$P$163+$P$98*$P$155)/($P$82-$P$74)+$C$19*2,"-")</f>
        <v>-</v>
      </c>
    </row>
    <row r="179" spans="2:16" ht="15" thickBot="1" x14ac:dyDescent="0.45">
      <c r="B179" s="12" t="s">
        <v>543</v>
      </c>
      <c r="C179" s="57">
        <v>510</v>
      </c>
      <c r="G179" s="3" t="s">
        <v>75</v>
      </c>
      <c r="H179" s="63" t="s">
        <v>529</v>
      </c>
      <c r="I179" s="64" t="s">
        <v>75</v>
      </c>
      <c r="J179" s="65" t="e">
        <f>$J$13</f>
        <v>#NUM!</v>
      </c>
      <c r="K179" s="26" t="e">
        <f>-$C$119+$J$179</f>
        <v>#NUM!</v>
      </c>
      <c r="M179" s="3">
        <f t="shared" si="2"/>
        <v>179</v>
      </c>
      <c r="N179" s="36" t="s">
        <v>256</v>
      </c>
      <c r="O179" s="45" t="str">
        <f>IF($C$66&gt;=5,"3列目 BD内径（めっき含・概算）","-")</f>
        <v>-</v>
      </c>
      <c r="P179" s="35" t="str">
        <f>IF($C$66&gt;=5,($P$91*$P$164+$P$99*$P$156)/($P$83-$P$75)+$C$19*2,"-")</f>
        <v>-</v>
      </c>
    </row>
    <row r="180" spans="2:16" ht="15" thickTop="1" x14ac:dyDescent="0.4">
      <c r="B180" s="12" t="s">
        <v>544</v>
      </c>
      <c r="C180" s="57">
        <v>530</v>
      </c>
      <c r="G180" s="3" t="s">
        <v>481</v>
      </c>
      <c r="H180" s="9" t="s">
        <v>372</v>
      </c>
      <c r="I180" s="11" t="s">
        <v>73</v>
      </c>
      <c r="J180" s="56">
        <f>$C$159</f>
        <v>430000</v>
      </c>
      <c r="M180" s="3">
        <f t="shared" si="2"/>
        <v>180</v>
      </c>
      <c r="N180" s="36" t="s">
        <v>257</v>
      </c>
      <c r="O180" s="45" t="str">
        <f>IF($C$66&gt;=6,"4列目 BD内径（めっき含・概算）","-")</f>
        <v>-</v>
      </c>
      <c r="P180" s="35" t="str">
        <f>IF($C$66&gt;=6,($P$92*$P$165+$P$100*$P$157)/($P$84-$P$76)+$C$19*2,"-")</f>
        <v>-</v>
      </c>
    </row>
    <row r="181" spans="2:16" x14ac:dyDescent="0.4">
      <c r="B181" s="12" t="s">
        <v>545</v>
      </c>
      <c r="C181" s="57">
        <v>540</v>
      </c>
      <c r="G181" s="3" t="s">
        <v>473</v>
      </c>
      <c r="H181" s="10" t="s">
        <v>490</v>
      </c>
      <c r="I181" s="26" t="s">
        <v>73</v>
      </c>
      <c r="J181" s="56">
        <f>$C$32</f>
        <v>0</v>
      </c>
      <c r="K181" s="42"/>
      <c r="M181" s="3">
        <f t="shared" si="2"/>
        <v>181</v>
      </c>
      <c r="N181" s="36" t="s">
        <v>258</v>
      </c>
      <c r="O181" s="45" t="str">
        <f>IF($C$66&gt;=7,"5列目 BD内径（めっき含・概算）","-")</f>
        <v>-</v>
      </c>
      <c r="P181" s="35" t="str">
        <f>IF($C$66&gt;=7,($P$93*$P$166+$P$101*$P$158)/($P$85-$P$77)+$C$19*2,"-")</f>
        <v>-</v>
      </c>
    </row>
    <row r="182" spans="2:16" x14ac:dyDescent="0.4">
      <c r="B182" s="12" t="s">
        <v>379</v>
      </c>
      <c r="C182" s="57">
        <v>650</v>
      </c>
      <c r="G182" s="3" t="s">
        <v>75</v>
      </c>
      <c r="H182" s="10" t="s">
        <v>570</v>
      </c>
      <c r="I182" s="26" t="s">
        <v>73</v>
      </c>
      <c r="J182" s="56">
        <f>$C$47</f>
        <v>0</v>
      </c>
      <c r="K182" s="42"/>
      <c r="M182" s="3">
        <f t="shared" si="2"/>
        <v>182</v>
      </c>
      <c r="N182" s="36" t="s">
        <v>259</v>
      </c>
      <c r="O182" s="45" t="str">
        <f>IF($C$66&gt;=8,"6列目 BD内径（めっき含・概算）","-")</f>
        <v>-</v>
      </c>
      <c r="P182" s="35" t="str">
        <f>IF($C$66&gt;=8,($P$94*$P$167+$P$102*$P$159)/($P$86-$P$78)+$C$19*2,"-")</f>
        <v>-</v>
      </c>
    </row>
    <row r="183" spans="2:16" x14ac:dyDescent="0.4">
      <c r="B183" s="12" t="s">
        <v>380</v>
      </c>
      <c r="C183" s="57">
        <v>660</v>
      </c>
      <c r="G183" s="3" t="s">
        <v>471</v>
      </c>
      <c r="H183" s="10" t="s">
        <v>455</v>
      </c>
      <c r="I183" s="26" t="s">
        <v>73</v>
      </c>
      <c r="J183" s="56">
        <f>$C$46</f>
        <v>0</v>
      </c>
      <c r="K183" s="42"/>
      <c r="M183" s="3">
        <f t="shared" si="2"/>
        <v>183</v>
      </c>
      <c r="N183" s="36" t="s">
        <v>260</v>
      </c>
      <c r="O183" s="45" t="s">
        <v>254</v>
      </c>
      <c r="P183" s="2" t="e">
        <f ca="1">($P$95*$P$168+$P$103*$P$160)/($P$87-$P$79)+$C$19*2</f>
        <v>#REF!</v>
      </c>
    </row>
    <row r="184" spans="2:16" x14ac:dyDescent="0.4">
      <c r="G184" s="3" t="s">
        <v>465</v>
      </c>
      <c r="H184" s="10" t="s">
        <v>453</v>
      </c>
      <c r="I184" s="26" t="s">
        <v>73</v>
      </c>
      <c r="J184" s="26" t="str">
        <f>IF($C$46=2, $C$58, "#0")</f>
        <v>#0</v>
      </c>
      <c r="K184" s="42"/>
      <c r="M184" s="3">
        <f t="shared" si="2"/>
        <v>184</v>
      </c>
    </row>
    <row r="185" spans="2:16" x14ac:dyDescent="0.4">
      <c r="G185" s="3" t="s">
        <v>466</v>
      </c>
      <c r="H185" s="10" t="s">
        <v>454</v>
      </c>
      <c r="I185" s="26" t="s">
        <v>73</v>
      </c>
      <c r="J185" s="26" t="str">
        <f>IF($C$46=1, $C$57, "#0")</f>
        <v>#0</v>
      </c>
      <c r="K185" s="42"/>
      <c r="M185" s="3">
        <f t="shared" si="2"/>
        <v>185</v>
      </c>
    </row>
    <row r="186" spans="2:16" x14ac:dyDescent="0.4">
      <c r="G186" s="3" t="s">
        <v>77</v>
      </c>
      <c r="H186" s="9" t="s">
        <v>32</v>
      </c>
      <c r="I186" s="11" t="s">
        <v>77</v>
      </c>
      <c r="J186" s="26">
        <f>IF($C$46=4, "#0", $C$48+($D$48+$E$48)/2)</f>
        <v>0</v>
      </c>
      <c r="K186" s="42"/>
      <c r="M186" s="3">
        <f t="shared" si="2"/>
        <v>186</v>
      </c>
    </row>
    <row r="187" spans="2:16" x14ac:dyDescent="0.4">
      <c r="G187" s="3" t="s">
        <v>76</v>
      </c>
      <c r="H187" s="9" t="s">
        <v>456</v>
      </c>
      <c r="I187" s="11" t="s">
        <v>76</v>
      </c>
      <c r="J187" s="26">
        <f>$C$49+($D$49+$E$49)/2</f>
        <v>0</v>
      </c>
      <c r="K187" s="42"/>
      <c r="M187" s="3">
        <f t="shared" si="2"/>
        <v>187</v>
      </c>
      <c r="N187" s="36" t="s">
        <v>122</v>
      </c>
      <c r="P187" s="2">
        <f>$S$22^2+(2*P15)^2</f>
        <v>384469.72249999997</v>
      </c>
    </row>
    <row r="188" spans="2:16" x14ac:dyDescent="0.4">
      <c r="G188" s="3" t="s">
        <v>472</v>
      </c>
      <c r="H188" s="9" t="s">
        <v>55</v>
      </c>
      <c r="I188" s="11" t="s">
        <v>77</v>
      </c>
      <c r="J188" s="26">
        <f>$P$16</f>
        <v>0</v>
      </c>
      <c r="K188" s="59"/>
      <c r="M188" s="3">
        <f t="shared" si="2"/>
        <v>188</v>
      </c>
      <c r="N188" s="36" t="s">
        <v>123</v>
      </c>
      <c r="O188" s="44" t="s">
        <v>21</v>
      </c>
      <c r="P188" s="2">
        <f>SQRT(P187)</f>
        <v>620.05622527316018</v>
      </c>
    </row>
    <row r="189" spans="2:16" x14ac:dyDescent="0.4">
      <c r="G189" s="3" t="s">
        <v>474</v>
      </c>
      <c r="H189" s="9" t="s">
        <v>8</v>
      </c>
      <c r="I189" s="11" t="s">
        <v>76</v>
      </c>
      <c r="J189" s="26">
        <f>$P$17</f>
        <v>0</v>
      </c>
      <c r="K189" s="59"/>
      <c r="M189" s="3">
        <f t="shared" si="2"/>
        <v>189</v>
      </c>
      <c r="N189" s="36" t="s">
        <v>49</v>
      </c>
      <c r="O189" s="44" t="s">
        <v>22</v>
      </c>
      <c r="P189" s="2">
        <f>2*P15/P188</f>
        <v>0.9999093222987393</v>
      </c>
    </row>
    <row r="190" spans="2:16" x14ac:dyDescent="0.4">
      <c r="G190" s="3" t="s">
        <v>472</v>
      </c>
      <c r="H190" s="9" t="s">
        <v>451</v>
      </c>
      <c r="I190" s="11" t="s">
        <v>77</v>
      </c>
      <c r="J190" s="26">
        <f>$P$22</f>
        <v>0</v>
      </c>
      <c r="K190" s="42"/>
      <c r="M190" s="3">
        <f t="shared" si="2"/>
        <v>190</v>
      </c>
      <c r="N190" s="36" t="s">
        <v>50</v>
      </c>
      <c r="O190" s="44" t="s">
        <v>23</v>
      </c>
      <c r="P190" s="2">
        <f>$S$22/P188</f>
        <v>1.3466520711603988E-2</v>
      </c>
    </row>
    <row r="191" spans="2:16" x14ac:dyDescent="0.4">
      <c r="G191" s="3" t="s">
        <v>474</v>
      </c>
      <c r="H191" s="9" t="s">
        <v>452</v>
      </c>
      <c r="I191" s="11" t="s">
        <v>76</v>
      </c>
      <c r="J191" s="26">
        <f>$P$23</f>
        <v>0</v>
      </c>
      <c r="K191" s="42"/>
      <c r="M191" s="3">
        <f t="shared" si="2"/>
        <v>191</v>
      </c>
      <c r="N191" s="36" t="s">
        <v>124</v>
      </c>
      <c r="P191" s="2" t="e">
        <f>SQRT(P14^2-(P15-P28)^2)</f>
        <v>#NUM!</v>
      </c>
    </row>
    <row r="192" spans="2:16" x14ac:dyDescent="0.4">
      <c r="G192" s="3" t="s">
        <v>74</v>
      </c>
      <c r="H192" s="9" t="s">
        <v>435</v>
      </c>
      <c r="I192" s="11" t="s">
        <v>74</v>
      </c>
      <c r="J192" s="26" t="e">
        <f>$J$9</f>
        <v>#NUM!</v>
      </c>
      <c r="K192" s="26" t="e">
        <f>$C$118+$J$192</f>
        <v>#NUM!</v>
      </c>
      <c r="M192" s="3">
        <f t="shared" si="2"/>
        <v>192</v>
      </c>
      <c r="N192" s="36" t="s">
        <v>125</v>
      </c>
      <c r="P192" s="2" t="e">
        <f>SQRT(P14^2-(P15+P28)^2)</f>
        <v>#NUM!</v>
      </c>
    </row>
    <row r="193" spans="7:16" x14ac:dyDescent="0.4">
      <c r="G193" s="3" t="s">
        <v>463</v>
      </c>
      <c r="H193" s="9" t="s">
        <v>436</v>
      </c>
      <c r="I193" s="11" t="s">
        <v>74</v>
      </c>
      <c r="J193" s="26">
        <f>$J$4</f>
        <v>0</v>
      </c>
      <c r="K193" s="43"/>
      <c r="M193" s="3">
        <f t="shared" si="2"/>
        <v>193</v>
      </c>
      <c r="N193" s="36" t="s">
        <v>126</v>
      </c>
      <c r="P193" s="2">
        <f>P28*P15</f>
        <v>0</v>
      </c>
    </row>
    <row r="194" spans="7:16" x14ac:dyDescent="0.4">
      <c r="G194" s="3" t="s">
        <v>457</v>
      </c>
      <c r="H194" s="9" t="s">
        <v>4</v>
      </c>
      <c r="I194" s="11" t="s">
        <v>73</v>
      </c>
      <c r="J194" s="26">
        <f>$C$7</f>
        <v>0</v>
      </c>
      <c r="M194" s="3">
        <f t="shared" si="2"/>
        <v>194</v>
      </c>
      <c r="N194" s="36" t="s">
        <v>127</v>
      </c>
      <c r="P194" s="2" t="e">
        <f>SQRT(P14^2-P187/4)</f>
        <v>#NUM!</v>
      </c>
    </row>
    <row r="195" spans="7:16" x14ac:dyDescent="0.4">
      <c r="G195" s="3" t="s">
        <v>467</v>
      </c>
      <c r="H195" s="9" t="s">
        <v>30</v>
      </c>
      <c r="I195" s="11" t="s">
        <v>74</v>
      </c>
      <c r="J195" s="26">
        <f>$C$50+($D$50+$E$50)/2</f>
        <v>0</v>
      </c>
      <c r="K195" s="59"/>
      <c r="M195" s="3">
        <f t="shared" si="2"/>
        <v>195</v>
      </c>
      <c r="N195" s="36" t="s">
        <v>56</v>
      </c>
      <c r="P195" s="2" t="e">
        <f>P194*P189</f>
        <v>#NUM!</v>
      </c>
    </row>
    <row r="196" spans="7:16" x14ac:dyDescent="0.4">
      <c r="G196" s="3" t="s">
        <v>491</v>
      </c>
      <c r="H196" s="9" t="s">
        <v>31</v>
      </c>
      <c r="I196" s="11" t="s">
        <v>74</v>
      </c>
      <c r="J196" s="26">
        <f>$C$51+($D$51+$E$51)/2</f>
        <v>0</v>
      </c>
      <c r="K196" s="59"/>
      <c r="M196" s="3">
        <f t="shared" si="2"/>
        <v>196</v>
      </c>
      <c r="N196" s="36" t="s">
        <v>57</v>
      </c>
      <c r="O196" s="44" t="s">
        <v>19</v>
      </c>
      <c r="P196" s="2" t="e">
        <f>P194*P190</f>
        <v>#NUM!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6" t="s">
        <v>33</v>
      </c>
      <c r="O197" s="44" t="s">
        <v>18</v>
      </c>
      <c r="P197" s="2" t="e">
        <f>$S$22/2+P13-P195</f>
        <v>#NUM!</v>
      </c>
    </row>
    <row r="198" spans="7:16" x14ac:dyDescent="0.4">
      <c r="H198" s="27" t="s">
        <v>509</v>
      </c>
      <c r="I198" s="25"/>
      <c r="J198" s="5"/>
      <c r="K198" s="5"/>
    </row>
    <row r="199" spans="7:16" x14ac:dyDescent="0.4">
      <c r="G199" s="3" t="s">
        <v>464</v>
      </c>
      <c r="H199" s="9" t="s">
        <v>358</v>
      </c>
      <c r="I199" s="11" t="s">
        <v>73</v>
      </c>
      <c r="J199" s="56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75</v>
      </c>
      <c r="H200" s="63" t="s">
        <v>529</v>
      </c>
      <c r="I200" s="64" t="s">
        <v>75</v>
      </c>
      <c r="J200" s="65" t="e">
        <f>$J$13</f>
        <v>#NUM!</v>
      </c>
      <c r="K200" s="26" t="e">
        <f>-$C$119+$J$200</f>
        <v>#NUM!</v>
      </c>
    </row>
    <row r="201" spans="7:16" ht="15" thickTop="1" x14ac:dyDescent="0.4">
      <c r="G201" s="3" t="s">
        <v>481</v>
      </c>
      <c r="H201" s="9" t="s">
        <v>372</v>
      </c>
      <c r="I201" s="11" t="s">
        <v>73</v>
      </c>
      <c r="J201" s="56">
        <v>440000</v>
      </c>
    </row>
    <row r="202" spans="7:16" x14ac:dyDescent="0.4">
      <c r="G202" s="3" t="s">
        <v>473</v>
      </c>
      <c r="H202" s="10" t="s">
        <v>490</v>
      </c>
      <c r="I202" s="26" t="s">
        <v>73</v>
      </c>
      <c r="J202" s="56">
        <f>$C$32</f>
        <v>0</v>
      </c>
      <c r="K202" s="42"/>
    </row>
    <row r="203" spans="7:16" x14ac:dyDescent="0.4">
      <c r="G203" s="3" t="s">
        <v>75</v>
      </c>
      <c r="H203" s="10" t="s">
        <v>517</v>
      </c>
      <c r="I203" s="26" t="s">
        <v>73</v>
      </c>
      <c r="J203" s="56">
        <f>IF($C$88&lt;&gt;1, 0, 1)</f>
        <v>0</v>
      </c>
      <c r="K203" s="42"/>
    </row>
    <row r="204" spans="7:16" x14ac:dyDescent="0.4">
      <c r="G204" s="3" t="s">
        <v>77</v>
      </c>
      <c r="H204" s="9" t="s">
        <v>451</v>
      </c>
      <c r="I204" s="11" t="s">
        <v>77</v>
      </c>
      <c r="J204" s="26" t="str">
        <f>IF($J$202&lt;&gt;0, $P$22, "#0")</f>
        <v>#0</v>
      </c>
      <c r="K204" s="42"/>
    </row>
    <row r="205" spans="7:16" x14ac:dyDescent="0.4">
      <c r="G205" s="3" t="s">
        <v>76</v>
      </c>
      <c r="H205" s="9" t="s">
        <v>452</v>
      </c>
      <c r="I205" s="11" t="s">
        <v>76</v>
      </c>
      <c r="J205" s="26" t="str">
        <f>IF($J$202&lt;&gt;0, $P$23, "#0")</f>
        <v>#0</v>
      </c>
      <c r="K205" s="42"/>
    </row>
    <row r="206" spans="7:16" x14ac:dyDescent="0.4">
      <c r="G206" s="3" t="s">
        <v>74</v>
      </c>
      <c r="H206" s="9" t="s">
        <v>435</v>
      </c>
      <c r="I206" s="11" t="s">
        <v>74</v>
      </c>
      <c r="J206" s="26" t="e">
        <f>$J$9</f>
        <v>#NUM!</v>
      </c>
      <c r="K206" s="26" t="e">
        <f>$C$118+$J$206</f>
        <v>#NUM!</v>
      </c>
    </row>
    <row r="207" spans="7:16" x14ac:dyDescent="0.4">
      <c r="G207" s="3" t="s">
        <v>463</v>
      </c>
      <c r="H207" s="9" t="s">
        <v>436</v>
      </c>
      <c r="I207" s="11" t="s">
        <v>74</v>
      </c>
      <c r="J207" s="26">
        <f>$J$4</f>
        <v>0</v>
      </c>
      <c r="K207" s="43"/>
    </row>
    <row r="208" spans="7:16" x14ac:dyDescent="0.4">
      <c r="G208" s="3" t="s">
        <v>457</v>
      </c>
      <c r="H208" s="9" t="s">
        <v>4</v>
      </c>
      <c r="I208" s="11" t="s">
        <v>73</v>
      </c>
      <c r="J208" s="26">
        <f>$C$7</f>
        <v>0</v>
      </c>
    </row>
    <row r="209" spans="7:16" x14ac:dyDescent="0.4">
      <c r="G209" s="3" t="s">
        <v>471</v>
      </c>
      <c r="H209" s="9" t="s">
        <v>493</v>
      </c>
      <c r="I209" s="11" t="s">
        <v>73</v>
      </c>
      <c r="J209" s="26">
        <f>IF($C$84&lt;&gt;0,$C$85, $C$89)</f>
        <v>0</v>
      </c>
    </row>
    <row r="210" spans="7:16" x14ac:dyDescent="0.4">
      <c r="G210" s="3" t="s">
        <v>466</v>
      </c>
      <c r="H210" s="9" t="s">
        <v>495</v>
      </c>
      <c r="I210" s="11" t="s">
        <v>73</v>
      </c>
      <c r="J210" s="26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7" t="s">
        <v>510</v>
      </c>
      <c r="I212" s="25"/>
      <c r="J212" s="5"/>
      <c r="K212" s="5"/>
      <c r="N212" s="44"/>
      <c r="O212" s="45"/>
      <c r="P212" s="1"/>
    </row>
    <row r="213" spans="7:16" x14ac:dyDescent="0.4">
      <c r="G213" s="3" t="s">
        <v>464</v>
      </c>
      <c r="H213" s="9" t="s">
        <v>358</v>
      </c>
      <c r="I213" s="11" t="s">
        <v>73</v>
      </c>
      <c r="J213" s="56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75</v>
      </c>
      <c r="H214" s="63" t="s">
        <v>529</v>
      </c>
      <c r="I214" s="64" t="s">
        <v>75</v>
      </c>
      <c r="J214" s="65" t="e">
        <f>$J$13</f>
        <v>#NUM!</v>
      </c>
      <c r="K214" s="26" t="e">
        <f>-$C$119+$J$214</f>
        <v>#NUM!</v>
      </c>
    </row>
    <row r="215" spans="7:16" ht="15" thickTop="1" x14ac:dyDescent="0.4">
      <c r="G215" s="3" t="s">
        <v>481</v>
      </c>
      <c r="H215" s="9" t="s">
        <v>372</v>
      </c>
      <c r="I215" s="11" t="s">
        <v>73</v>
      </c>
      <c r="J215" s="56">
        <f>$C$162</f>
        <v>450000</v>
      </c>
    </row>
    <row r="216" spans="7:16" x14ac:dyDescent="0.4">
      <c r="G216" s="3" t="s">
        <v>473</v>
      </c>
      <c r="H216" s="10" t="s">
        <v>603</v>
      </c>
      <c r="I216" s="26" t="s">
        <v>73</v>
      </c>
      <c r="J216" s="56">
        <f>IF($C$105=0, 0, 1)</f>
        <v>0</v>
      </c>
      <c r="K216" s="42"/>
    </row>
    <row r="217" spans="7:16" x14ac:dyDescent="0.4">
      <c r="G217" s="3" t="s">
        <v>75</v>
      </c>
      <c r="H217" s="10" t="s">
        <v>517</v>
      </c>
      <c r="I217" s="26" t="s">
        <v>73</v>
      </c>
      <c r="J217" s="56">
        <f>IF($C$95&lt;&gt;1, 0, 1)</f>
        <v>0</v>
      </c>
      <c r="K217" s="42"/>
    </row>
    <row r="218" spans="7:16" x14ac:dyDescent="0.4">
      <c r="G218" s="3" t="s">
        <v>77</v>
      </c>
      <c r="H218" s="10" t="s">
        <v>604</v>
      </c>
      <c r="I218" s="26" t="s">
        <v>77</v>
      </c>
      <c r="J218" s="56" t="str">
        <f>IF($J$216&lt;&gt;0, $C$106, "#0")</f>
        <v>#0</v>
      </c>
      <c r="K218" s="42"/>
    </row>
    <row r="219" spans="7:16" x14ac:dyDescent="0.4">
      <c r="G219" s="3" t="s">
        <v>76</v>
      </c>
      <c r="H219" s="10" t="s">
        <v>604</v>
      </c>
      <c r="I219" s="26" t="s">
        <v>76</v>
      </c>
      <c r="J219" s="56" t="str">
        <f>IF($J$216&lt;&gt;0, $C$107, "#0")</f>
        <v>#0</v>
      </c>
      <c r="K219" s="42"/>
    </row>
    <row r="220" spans="7:16" x14ac:dyDescent="0.4">
      <c r="G220" s="3" t="s">
        <v>74</v>
      </c>
      <c r="H220" s="9" t="s">
        <v>435</v>
      </c>
      <c r="I220" s="11" t="s">
        <v>74</v>
      </c>
      <c r="J220" s="26" t="e">
        <f>$J$9</f>
        <v>#NUM!</v>
      </c>
      <c r="K220" s="26" t="e">
        <f>$C$118+$J$220</f>
        <v>#NUM!</v>
      </c>
    </row>
    <row r="221" spans="7:16" x14ac:dyDescent="0.4">
      <c r="G221" s="3" t="s">
        <v>463</v>
      </c>
      <c r="H221" s="9" t="s">
        <v>436</v>
      </c>
      <c r="I221" s="11" t="s">
        <v>74</v>
      </c>
      <c r="J221" s="26">
        <f>$J$4</f>
        <v>0</v>
      </c>
      <c r="K221" s="43"/>
    </row>
    <row r="222" spans="7:16" x14ac:dyDescent="0.4">
      <c r="G222" s="3" t="s">
        <v>457</v>
      </c>
      <c r="H222" s="9" t="s">
        <v>4</v>
      </c>
      <c r="I222" s="11" t="s">
        <v>73</v>
      </c>
      <c r="J222" s="26">
        <f>$C$7</f>
        <v>0</v>
      </c>
    </row>
    <row r="223" spans="7:16" x14ac:dyDescent="0.4">
      <c r="G223" s="3" t="s">
        <v>471</v>
      </c>
      <c r="H223" s="9" t="s">
        <v>494</v>
      </c>
      <c r="I223" s="11" t="s">
        <v>73</v>
      </c>
      <c r="J223" s="26">
        <f>IF($C$91&lt;&gt;0,$C$92, $C$96)</f>
        <v>0</v>
      </c>
    </row>
    <row r="224" spans="7:16" x14ac:dyDescent="0.4">
      <c r="G224" s="3" t="s">
        <v>466</v>
      </c>
      <c r="H224" s="9" t="s">
        <v>520</v>
      </c>
      <c r="I224" s="11" t="s">
        <v>73</v>
      </c>
      <c r="J224" s="26" t="e">
        <f ca="1">$P$115</f>
        <v>#REF!</v>
      </c>
    </row>
    <row r="225" spans="7:11" x14ac:dyDescent="0.4">
      <c r="G225" s="3" t="s">
        <v>464</v>
      </c>
      <c r="H225" s="9" t="s">
        <v>426</v>
      </c>
      <c r="I225" s="11" t="s">
        <v>73</v>
      </c>
      <c r="J225" s="26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512</v>
      </c>
      <c r="I227" s="25"/>
      <c r="J227" s="25"/>
      <c r="K227" s="5"/>
    </row>
    <row r="228" spans="7:11" x14ac:dyDescent="0.4">
      <c r="G228" s="3" t="s">
        <v>464</v>
      </c>
      <c r="H228" s="9" t="s">
        <v>358</v>
      </c>
      <c r="I228" s="11" t="s">
        <v>73</v>
      </c>
      <c r="J228" s="56">
        <f>$C$126</f>
        <v>2</v>
      </c>
      <c r="K228" s="42"/>
    </row>
    <row r="229" spans="7:11" ht="15" thickBot="1" x14ac:dyDescent="0.45">
      <c r="G229" s="3" t="s">
        <v>75</v>
      </c>
      <c r="H229" s="63" t="s">
        <v>529</v>
      </c>
      <c r="I229" s="64" t="s">
        <v>75</v>
      </c>
      <c r="J229" s="65" t="e">
        <f>$J$14</f>
        <v>#NUM!</v>
      </c>
      <c r="K229" s="26" t="e">
        <f>-$C$119+$J$229</f>
        <v>#NUM!</v>
      </c>
    </row>
    <row r="230" spans="7:11" ht="15" thickTop="1" x14ac:dyDescent="0.4">
      <c r="G230" s="3" t="s">
        <v>481</v>
      </c>
      <c r="H230" s="9" t="s">
        <v>372</v>
      </c>
      <c r="I230" s="11" t="s">
        <v>73</v>
      </c>
      <c r="J230" s="56">
        <f>$C$156</f>
        <v>410000</v>
      </c>
    </row>
    <row r="231" spans="7:11" x14ac:dyDescent="0.4">
      <c r="G231" s="3" t="s">
        <v>74</v>
      </c>
      <c r="H231" s="9" t="s">
        <v>421</v>
      </c>
      <c r="I231" s="11" t="s">
        <v>74</v>
      </c>
      <c r="J231" s="26" t="e">
        <f>$J$10</f>
        <v>#NUM!</v>
      </c>
      <c r="K231" s="26" t="e">
        <f>$C$118+$J$231</f>
        <v>#NUM!</v>
      </c>
    </row>
    <row r="232" spans="7:11" x14ac:dyDescent="0.4">
      <c r="G232" s="3" t="s">
        <v>466</v>
      </c>
      <c r="H232" s="9" t="s">
        <v>496</v>
      </c>
      <c r="I232" s="11" t="s">
        <v>73</v>
      </c>
      <c r="J232" s="26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511</v>
      </c>
      <c r="J234" s="5"/>
    </row>
    <row r="235" spans="7:11" x14ac:dyDescent="0.4">
      <c r="G235" s="3" t="s">
        <v>464</v>
      </c>
      <c r="H235" s="9" t="s">
        <v>358</v>
      </c>
      <c r="I235" s="11" t="s">
        <v>73</v>
      </c>
      <c r="J235" s="56">
        <f>IF($C$24&lt;&gt;1,$C$132,$C$133)</f>
        <v>16</v>
      </c>
      <c r="K235" s="42"/>
    </row>
    <row r="236" spans="7:11" ht="15" thickBot="1" x14ac:dyDescent="0.45">
      <c r="G236" s="3" t="s">
        <v>75</v>
      </c>
      <c r="H236" s="63" t="s">
        <v>529</v>
      </c>
      <c r="I236" s="64" t="s">
        <v>75</v>
      </c>
      <c r="J236" s="65" t="e">
        <f>$J$14</f>
        <v>#NUM!</v>
      </c>
      <c r="K236" s="26" t="e">
        <f>-$C$119+$J$261</f>
        <v>#NUM!</v>
      </c>
    </row>
    <row r="237" spans="7:11" ht="15" thickTop="1" x14ac:dyDescent="0.4">
      <c r="G237" s="3" t="s">
        <v>481</v>
      </c>
      <c r="H237" s="9" t="s">
        <v>372</v>
      </c>
      <c r="I237" s="11" t="s">
        <v>73</v>
      </c>
      <c r="J237" s="56">
        <f>$C$157</f>
        <v>420000</v>
      </c>
    </row>
    <row r="238" spans="7:11" x14ac:dyDescent="0.4">
      <c r="G238" s="3" t="s">
        <v>77</v>
      </c>
      <c r="H238" s="9" t="s">
        <v>501</v>
      </c>
      <c r="I238" s="11" t="s">
        <v>77</v>
      </c>
      <c r="J238" s="26">
        <f>$P$18</f>
        <v>0</v>
      </c>
      <c r="K238" s="42"/>
    </row>
    <row r="239" spans="7:11" x14ac:dyDescent="0.4">
      <c r="G239" s="3" t="s">
        <v>76</v>
      </c>
      <c r="H239" s="9" t="s">
        <v>502</v>
      </c>
      <c r="I239" s="11" t="s">
        <v>76</v>
      </c>
      <c r="J239" s="26">
        <f>$P$19</f>
        <v>0</v>
      </c>
      <c r="K239" s="42"/>
    </row>
    <row r="240" spans="7:11" x14ac:dyDescent="0.4">
      <c r="G240" s="3" t="s">
        <v>472</v>
      </c>
      <c r="H240" s="9" t="s">
        <v>55</v>
      </c>
      <c r="I240" s="11" t="s">
        <v>77</v>
      </c>
      <c r="J240" s="26">
        <f>$P$16</f>
        <v>0</v>
      </c>
      <c r="K240" s="59"/>
    </row>
    <row r="241" spans="7:11" x14ac:dyDescent="0.4">
      <c r="G241" s="3" t="s">
        <v>474</v>
      </c>
      <c r="H241" s="9" t="s">
        <v>8</v>
      </c>
      <c r="I241" s="11" t="s">
        <v>76</v>
      </c>
      <c r="J241" s="26">
        <f>$P$17</f>
        <v>0</v>
      </c>
      <c r="K241" s="59"/>
    </row>
    <row r="242" spans="7:11" x14ac:dyDescent="0.4">
      <c r="G242" s="3" t="s">
        <v>74</v>
      </c>
      <c r="H242" s="9" t="s">
        <v>421</v>
      </c>
      <c r="I242" s="11" t="s">
        <v>74</v>
      </c>
      <c r="J242" s="26" t="e">
        <f>$J$10</f>
        <v>#NUM!</v>
      </c>
      <c r="K242" s="26" t="e">
        <f>$C$118+$J$242</f>
        <v>#NUM!</v>
      </c>
    </row>
    <row r="243" spans="7:11" x14ac:dyDescent="0.4">
      <c r="G243" s="3" t="s">
        <v>466</v>
      </c>
      <c r="H243" s="9" t="s">
        <v>503</v>
      </c>
      <c r="I243" s="11" t="s">
        <v>73</v>
      </c>
      <c r="J243" s="26">
        <f>$C$30</f>
        <v>0</v>
      </c>
      <c r="K243" s="59"/>
    </row>
    <row r="244" spans="7:11" x14ac:dyDescent="0.4">
      <c r="G244" s="3" t="s">
        <v>471</v>
      </c>
      <c r="H244" s="9" t="s">
        <v>487</v>
      </c>
      <c r="I244" s="11" t="s">
        <v>74</v>
      </c>
      <c r="J244" s="26">
        <f>$P$21</f>
        <v>0</v>
      </c>
      <c r="K244" s="59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588</v>
      </c>
      <c r="J246" s="5"/>
    </row>
    <row r="247" spans="7:11" x14ac:dyDescent="0.4">
      <c r="G247" s="3" t="s">
        <v>464</v>
      </c>
      <c r="H247" s="9" t="s">
        <v>358</v>
      </c>
      <c r="I247" s="11" t="s">
        <v>73</v>
      </c>
      <c r="J247" s="56">
        <f>IF($C$24&lt;&gt;1,$C$132,$C$133)</f>
        <v>16</v>
      </c>
      <c r="K247" s="42"/>
    </row>
    <row r="248" spans="7:11" ht="15" thickBot="1" x14ac:dyDescent="0.45">
      <c r="G248" s="3" t="s">
        <v>75</v>
      </c>
      <c r="H248" s="63" t="s">
        <v>529</v>
      </c>
      <c r="I248" s="64" t="s">
        <v>75</v>
      </c>
      <c r="J248" s="65" t="e">
        <f>$J$14</f>
        <v>#NUM!</v>
      </c>
      <c r="K248" s="26" t="e">
        <f>-$C$119+$J$261</f>
        <v>#NUM!</v>
      </c>
    </row>
    <row r="249" spans="7:11" ht="15" thickTop="1" x14ac:dyDescent="0.4">
      <c r="G249" s="3" t="s">
        <v>481</v>
      </c>
      <c r="H249" s="9" t="s">
        <v>372</v>
      </c>
      <c r="I249" s="11" t="s">
        <v>73</v>
      </c>
      <c r="J249" s="56">
        <f>$C$158</f>
        <v>421000</v>
      </c>
    </row>
    <row r="250" spans="7:11" x14ac:dyDescent="0.4">
      <c r="G250" s="3" t="s">
        <v>77</v>
      </c>
      <c r="H250" s="9" t="s">
        <v>501</v>
      </c>
      <c r="I250" s="11" t="s">
        <v>77</v>
      </c>
      <c r="J250" s="26">
        <f>$P$18</f>
        <v>0</v>
      </c>
      <c r="K250" s="42"/>
    </row>
    <row r="251" spans="7:11" x14ac:dyDescent="0.4">
      <c r="G251" s="3" t="s">
        <v>76</v>
      </c>
      <c r="H251" s="9" t="s">
        <v>502</v>
      </c>
      <c r="I251" s="11" t="s">
        <v>76</v>
      </c>
      <c r="J251" s="26">
        <f>$P$19</f>
        <v>0</v>
      </c>
      <c r="K251" s="42"/>
    </row>
    <row r="252" spans="7:11" x14ac:dyDescent="0.4">
      <c r="G252" s="3" t="s">
        <v>472</v>
      </c>
      <c r="H252" s="9" t="s">
        <v>55</v>
      </c>
      <c r="I252" s="11" t="s">
        <v>77</v>
      </c>
      <c r="J252" s="26">
        <f>$P$16</f>
        <v>0</v>
      </c>
      <c r="K252" s="59"/>
    </row>
    <row r="253" spans="7:11" x14ac:dyDescent="0.4">
      <c r="G253" s="3" t="s">
        <v>474</v>
      </c>
      <c r="H253" s="9" t="s">
        <v>8</v>
      </c>
      <c r="I253" s="11" t="s">
        <v>76</v>
      </c>
      <c r="J253" s="26">
        <f>$P$17</f>
        <v>0</v>
      </c>
      <c r="K253" s="42"/>
    </row>
    <row r="254" spans="7:11" x14ac:dyDescent="0.4">
      <c r="G254" s="3" t="s">
        <v>74</v>
      </c>
      <c r="H254" s="9" t="s">
        <v>421</v>
      </c>
      <c r="I254" s="11" t="s">
        <v>74</v>
      </c>
      <c r="J254" s="26" t="e">
        <f>$J$10</f>
        <v>#NUM!</v>
      </c>
      <c r="K254" s="26" t="e">
        <f>$C$118+$J$242</f>
        <v>#NUM!</v>
      </c>
    </row>
    <row r="255" spans="7:11" x14ac:dyDescent="0.4">
      <c r="G255" s="3" t="s">
        <v>457</v>
      </c>
      <c r="H255" s="9" t="s">
        <v>4</v>
      </c>
      <c r="I255" s="11" t="s">
        <v>73</v>
      </c>
      <c r="J255" s="26">
        <f>$C$7</f>
        <v>0</v>
      </c>
    </row>
    <row r="256" spans="7:11" x14ac:dyDescent="0.4">
      <c r="G256" s="3" t="s">
        <v>466</v>
      </c>
      <c r="H256" s="9" t="s">
        <v>503</v>
      </c>
      <c r="I256" s="11" t="s">
        <v>73</v>
      </c>
      <c r="J256" s="26">
        <f>$C$30</f>
        <v>0</v>
      </c>
      <c r="K256" s="59"/>
    </row>
    <row r="257" spans="7:11" x14ac:dyDescent="0.4">
      <c r="G257" s="3" t="s">
        <v>471</v>
      </c>
      <c r="H257" s="9" t="s">
        <v>487</v>
      </c>
      <c r="I257" s="11" t="s">
        <v>74</v>
      </c>
      <c r="J257" s="26">
        <f>$P$21</f>
        <v>0</v>
      </c>
      <c r="K257" s="59"/>
    </row>
    <row r="258" spans="7:11" x14ac:dyDescent="0.4">
      <c r="H258" s="2"/>
      <c r="I258" s="19"/>
      <c r="J258" s="5"/>
      <c r="K258" s="5"/>
    </row>
    <row r="259" spans="7:11" x14ac:dyDescent="0.4">
      <c r="H259" s="27" t="s">
        <v>513</v>
      </c>
      <c r="I259" s="5"/>
      <c r="J259" s="5"/>
      <c r="K259" s="5"/>
    </row>
    <row r="260" spans="7:11" x14ac:dyDescent="0.4">
      <c r="G260" s="3" t="s">
        <v>464</v>
      </c>
      <c r="H260" s="9" t="s">
        <v>358</v>
      </c>
      <c r="I260" s="11" t="s">
        <v>73</v>
      </c>
      <c r="J260" s="56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75</v>
      </c>
      <c r="H261" s="63" t="s">
        <v>529</v>
      </c>
      <c r="I261" s="64" t="s">
        <v>75</v>
      </c>
      <c r="J261" s="65" t="e">
        <f>$J$14</f>
        <v>#NUM!</v>
      </c>
      <c r="K261" s="26" t="e">
        <f>-$C$119+$J$261</f>
        <v>#NUM!</v>
      </c>
    </row>
    <row r="262" spans="7:11" ht="15" thickTop="1" x14ac:dyDescent="0.4">
      <c r="G262" s="3" t="s">
        <v>481</v>
      </c>
      <c r="H262" s="9" t="s">
        <v>372</v>
      </c>
      <c r="I262" s="11" t="s">
        <v>73</v>
      </c>
      <c r="J262" s="56">
        <f>$C$160</f>
        <v>440000</v>
      </c>
    </row>
    <row r="263" spans="7:11" x14ac:dyDescent="0.4">
      <c r="G263" s="3" t="s">
        <v>473</v>
      </c>
      <c r="H263" s="10" t="s">
        <v>504</v>
      </c>
      <c r="I263" s="26" t="s">
        <v>73</v>
      </c>
      <c r="J263" s="56">
        <f>$C$23</f>
        <v>0</v>
      </c>
      <c r="K263" s="42"/>
    </row>
    <row r="264" spans="7:11" x14ac:dyDescent="0.4">
      <c r="G264" s="3" t="s">
        <v>75</v>
      </c>
      <c r="H264" s="10" t="s">
        <v>517</v>
      </c>
      <c r="I264" s="26" t="s">
        <v>73</v>
      </c>
      <c r="J264" s="56">
        <f>IF($C$74&lt;&gt;1, 0, 1)</f>
        <v>0</v>
      </c>
      <c r="K264" s="42"/>
    </row>
    <row r="265" spans="7:11" x14ac:dyDescent="0.4">
      <c r="G265" s="3" t="s">
        <v>77</v>
      </c>
      <c r="H265" s="9" t="s">
        <v>501</v>
      </c>
      <c r="I265" s="11" t="s">
        <v>77</v>
      </c>
      <c r="J265" s="26" t="str">
        <f>IF($J$263&lt;&gt;0, $P$18, "#0")</f>
        <v>#0</v>
      </c>
      <c r="K265" s="42"/>
    </row>
    <row r="266" spans="7:11" x14ac:dyDescent="0.4">
      <c r="G266" s="3" t="s">
        <v>76</v>
      </c>
      <c r="H266" s="9" t="s">
        <v>502</v>
      </c>
      <c r="I266" s="11" t="s">
        <v>76</v>
      </c>
      <c r="J266" s="26" t="str">
        <f>IF($J$263&lt;&gt;0, $P$19, "#0")</f>
        <v>#0</v>
      </c>
      <c r="K266" s="42"/>
    </row>
    <row r="267" spans="7:11" x14ac:dyDescent="0.4">
      <c r="G267" s="3" t="s">
        <v>74</v>
      </c>
      <c r="H267" s="9" t="s">
        <v>421</v>
      </c>
      <c r="I267" s="11" t="s">
        <v>74</v>
      </c>
      <c r="J267" s="26" t="e">
        <f>$J$10</f>
        <v>#NUM!</v>
      </c>
      <c r="K267" s="26" t="e">
        <f>$C$118+$J$267</f>
        <v>#NUM!</v>
      </c>
    </row>
    <row r="268" spans="7:11" x14ac:dyDescent="0.4">
      <c r="G268" s="3" t="s">
        <v>463</v>
      </c>
      <c r="H268" s="9" t="s">
        <v>420</v>
      </c>
      <c r="I268" s="11" t="s">
        <v>74</v>
      </c>
      <c r="J268" s="26">
        <f>$J$5</f>
        <v>0</v>
      </c>
      <c r="K268" s="43"/>
    </row>
    <row r="269" spans="7:11" x14ac:dyDescent="0.4">
      <c r="G269" s="3" t="s">
        <v>457</v>
      </c>
      <c r="H269" s="9" t="s">
        <v>4</v>
      </c>
      <c r="I269" s="11" t="s">
        <v>73</v>
      </c>
      <c r="J269" s="26">
        <f>$C$7</f>
        <v>0</v>
      </c>
    </row>
    <row r="270" spans="7:11" x14ac:dyDescent="0.4">
      <c r="G270" s="3" t="s">
        <v>471</v>
      </c>
      <c r="H270" s="9" t="s">
        <v>514</v>
      </c>
      <c r="I270" s="11" t="s">
        <v>73</v>
      </c>
      <c r="J270" s="26">
        <f>IF($C$70&lt;&gt;0,$C$71, $C$75)</f>
        <v>0</v>
      </c>
    </row>
    <row r="271" spans="7:11" x14ac:dyDescent="0.4">
      <c r="G271" s="3" t="s">
        <v>466</v>
      </c>
      <c r="H271" s="9" t="s">
        <v>515</v>
      </c>
      <c r="I271" s="11" t="s">
        <v>73</v>
      </c>
      <c r="J271" s="26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7" t="s">
        <v>516</v>
      </c>
      <c r="I273" s="5"/>
      <c r="J273" s="5"/>
      <c r="K273" s="5"/>
    </row>
    <row r="274" spans="7:11" x14ac:dyDescent="0.4">
      <c r="G274" s="3" t="s">
        <v>464</v>
      </c>
      <c r="H274" s="9" t="s">
        <v>358</v>
      </c>
      <c r="I274" s="11" t="s">
        <v>73</v>
      </c>
      <c r="J274" s="56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75</v>
      </c>
      <c r="H275" s="63" t="s">
        <v>529</v>
      </c>
      <c r="I275" s="64" t="s">
        <v>75</v>
      </c>
      <c r="J275" s="65" t="e">
        <f>$J$14</f>
        <v>#NUM!</v>
      </c>
      <c r="K275" s="26" t="e">
        <f>-$C$119+$J$275</f>
        <v>#NUM!</v>
      </c>
    </row>
    <row r="276" spans="7:11" ht="15" thickTop="1" x14ac:dyDescent="0.4">
      <c r="G276" s="3" t="s">
        <v>481</v>
      </c>
      <c r="H276" s="9" t="s">
        <v>372</v>
      </c>
      <c r="I276" s="11" t="s">
        <v>73</v>
      </c>
      <c r="J276" s="56">
        <f>$C$162</f>
        <v>450000</v>
      </c>
    </row>
    <row r="277" spans="7:11" x14ac:dyDescent="0.4">
      <c r="G277" s="3" t="s">
        <v>75</v>
      </c>
      <c r="H277" s="10" t="s">
        <v>517</v>
      </c>
      <c r="I277" s="26" t="s">
        <v>73</v>
      </c>
      <c r="J277" s="56">
        <f>IF($C$81&lt;&gt;1, 0, 1)</f>
        <v>0</v>
      </c>
      <c r="K277" s="42"/>
    </row>
    <row r="278" spans="7:11" x14ac:dyDescent="0.4">
      <c r="G278" s="3" t="s">
        <v>74</v>
      </c>
      <c r="H278" s="9" t="s">
        <v>421</v>
      </c>
      <c r="I278" s="11" t="s">
        <v>74</v>
      </c>
      <c r="J278" s="26" t="e">
        <f>$J$10</f>
        <v>#NUM!</v>
      </c>
      <c r="K278" s="26" t="e">
        <f>$C$118+$J$278</f>
        <v>#NUM!</v>
      </c>
    </row>
    <row r="279" spans="7:11" x14ac:dyDescent="0.4">
      <c r="G279" s="3" t="s">
        <v>463</v>
      </c>
      <c r="H279" s="9" t="s">
        <v>420</v>
      </c>
      <c r="I279" s="11" t="s">
        <v>74</v>
      </c>
      <c r="J279" s="26">
        <f>$J$5</f>
        <v>0</v>
      </c>
      <c r="K279" s="43"/>
    </row>
    <row r="280" spans="7:11" x14ac:dyDescent="0.4">
      <c r="G280" s="3" t="s">
        <v>457</v>
      </c>
      <c r="H280" s="9" t="s">
        <v>4</v>
      </c>
      <c r="I280" s="11" t="s">
        <v>73</v>
      </c>
      <c r="J280" s="26">
        <f>$C$7</f>
        <v>0</v>
      </c>
    </row>
    <row r="281" spans="7:11" x14ac:dyDescent="0.4">
      <c r="G281" s="3" t="s">
        <v>471</v>
      </c>
      <c r="H281" s="9" t="s">
        <v>518</v>
      </c>
      <c r="I281" s="11" t="s">
        <v>73</v>
      </c>
      <c r="J281" s="26">
        <f>IF($C$77&lt;&gt;0,$C$78, $C$82)</f>
        <v>0</v>
      </c>
    </row>
    <row r="282" spans="7:11" x14ac:dyDescent="0.4">
      <c r="G282" s="3" t="s">
        <v>466</v>
      </c>
      <c r="H282" s="9" t="s">
        <v>519</v>
      </c>
      <c r="I282" s="11" t="s">
        <v>73</v>
      </c>
      <c r="J282" s="26" t="e">
        <f ca="1">$P$118</f>
        <v>#REF!</v>
      </c>
    </row>
    <row r="283" spans="7:11" x14ac:dyDescent="0.4">
      <c r="G283" s="3" t="s">
        <v>464</v>
      </c>
      <c r="H283" s="9" t="s">
        <v>426</v>
      </c>
      <c r="I283" s="11" t="s">
        <v>73</v>
      </c>
      <c r="J283" s="26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7" t="s">
        <v>574</v>
      </c>
      <c r="I285" s="5"/>
      <c r="J285" s="5"/>
      <c r="K285" s="5"/>
    </row>
    <row r="286" spans="7:11" x14ac:dyDescent="0.4">
      <c r="G286" s="3" t="s">
        <v>464</v>
      </c>
      <c r="H286" s="9" t="s">
        <v>358</v>
      </c>
      <c r="I286" s="11" t="s">
        <v>73</v>
      </c>
      <c r="J286" s="56">
        <f>$C$139</f>
        <v>50</v>
      </c>
    </row>
    <row r="287" spans="7:11" x14ac:dyDescent="0.4">
      <c r="G287" s="3" t="s">
        <v>481</v>
      </c>
      <c r="H287" s="9" t="s">
        <v>372</v>
      </c>
      <c r="I287" s="11" t="s">
        <v>73</v>
      </c>
      <c r="J287" s="56">
        <f>$C$153</f>
        <v>150002</v>
      </c>
    </row>
    <row r="288" spans="7:11" x14ac:dyDescent="0.4">
      <c r="G288" s="3" t="s">
        <v>463</v>
      </c>
      <c r="H288" s="9" t="s">
        <v>435</v>
      </c>
      <c r="I288" s="11" t="s">
        <v>77</v>
      </c>
      <c r="J288" s="26" t="e">
        <f>$J$9</f>
        <v>#NUM!</v>
      </c>
      <c r="K288" s="26" t="e">
        <f>$C$117+$J$288</f>
        <v>#NUM!</v>
      </c>
    </row>
    <row r="289" spans="7:11" x14ac:dyDescent="0.4">
      <c r="G289" s="3" t="s">
        <v>74</v>
      </c>
      <c r="H289" s="9" t="s">
        <v>421</v>
      </c>
      <c r="I289" s="11" t="s">
        <v>77</v>
      </c>
      <c r="J289" s="26" t="e">
        <f>$J$10</f>
        <v>#NUM!</v>
      </c>
      <c r="K289" s="26" t="e">
        <f>$C$117-$J$289</f>
        <v>#NUM!</v>
      </c>
    </row>
    <row r="290" spans="7:11" x14ac:dyDescent="0.4">
      <c r="G290" s="3" t="s">
        <v>464</v>
      </c>
      <c r="H290" s="9" t="s">
        <v>451</v>
      </c>
      <c r="I290" s="11" t="s">
        <v>74</v>
      </c>
      <c r="J290" s="26">
        <f>$P$22</f>
        <v>0</v>
      </c>
      <c r="K290" s="42"/>
    </row>
    <row r="291" spans="7:11" x14ac:dyDescent="0.4">
      <c r="G291" s="3" t="s">
        <v>472</v>
      </c>
      <c r="H291" s="9" t="s">
        <v>452</v>
      </c>
      <c r="I291" s="11" t="s">
        <v>76</v>
      </c>
      <c r="J291" s="26">
        <f>$P$23</f>
        <v>0</v>
      </c>
      <c r="K291" s="42"/>
    </row>
    <row r="292" spans="7:11" x14ac:dyDescent="0.4">
      <c r="G292" s="3" t="s">
        <v>75</v>
      </c>
      <c r="H292" s="9" t="s">
        <v>501</v>
      </c>
      <c r="I292" s="11" t="s">
        <v>74</v>
      </c>
      <c r="J292" s="26">
        <f>$P$18</f>
        <v>0</v>
      </c>
      <c r="K292" s="42"/>
    </row>
    <row r="293" spans="7:11" x14ac:dyDescent="0.4">
      <c r="G293" s="3" t="s">
        <v>465</v>
      </c>
      <c r="H293" s="9" t="s">
        <v>502</v>
      </c>
      <c r="I293" s="11" t="s">
        <v>76</v>
      </c>
      <c r="J293" s="26">
        <f>$P$19</f>
        <v>0</v>
      </c>
      <c r="K293" s="42"/>
    </row>
    <row r="294" spans="7:11" x14ac:dyDescent="0.4">
      <c r="G294" s="3" t="s">
        <v>467</v>
      </c>
      <c r="H294" s="9" t="s">
        <v>30</v>
      </c>
      <c r="I294" s="11" t="s">
        <v>77</v>
      </c>
      <c r="J294" s="26">
        <f>$J$195</f>
        <v>0</v>
      </c>
      <c r="K294" s="59"/>
    </row>
    <row r="295" spans="7:11" x14ac:dyDescent="0.4">
      <c r="G295" s="3" t="s">
        <v>468</v>
      </c>
      <c r="H295" s="9" t="s">
        <v>523</v>
      </c>
      <c r="I295" s="11" t="s">
        <v>74</v>
      </c>
      <c r="J295" s="26">
        <f>$C$44</f>
        <v>0</v>
      </c>
      <c r="K295" s="59"/>
    </row>
    <row r="296" spans="7:11" x14ac:dyDescent="0.4">
      <c r="G296" s="3" t="s">
        <v>471</v>
      </c>
      <c r="H296" s="9" t="s">
        <v>487</v>
      </c>
      <c r="I296" s="11" t="s">
        <v>77</v>
      </c>
      <c r="J296" s="26">
        <f>$P$21</f>
        <v>0</v>
      </c>
      <c r="K296" s="59"/>
    </row>
    <row r="297" spans="7:11" x14ac:dyDescent="0.4">
      <c r="G297" s="3" t="s">
        <v>473</v>
      </c>
      <c r="H297" s="9" t="s">
        <v>480</v>
      </c>
      <c r="I297" s="11" t="s">
        <v>75</v>
      </c>
      <c r="J297" s="26" t="e">
        <f>$J$13</f>
        <v>#NUM!</v>
      </c>
      <c r="K297" s="5"/>
    </row>
    <row r="298" spans="7:11" x14ac:dyDescent="0.4">
      <c r="J298" s="5"/>
    </row>
    <row r="299" spans="7:11" x14ac:dyDescent="0.4">
      <c r="H299" s="29" t="s">
        <v>320</v>
      </c>
      <c r="I299" s="25"/>
      <c r="J299" s="25"/>
    </row>
    <row r="300" spans="7:11" x14ac:dyDescent="0.4">
      <c r="H300" s="9" t="s">
        <v>322</v>
      </c>
      <c r="I300" s="11" t="s">
        <v>76</v>
      </c>
      <c r="J300" s="11"/>
    </row>
    <row r="301" spans="7:11" x14ac:dyDescent="0.4">
      <c r="H301" s="9" t="s">
        <v>321</v>
      </c>
      <c r="I301" s="11" t="s">
        <v>77</v>
      </c>
      <c r="J301" s="11"/>
    </row>
    <row r="302" spans="7:11" x14ac:dyDescent="0.4">
      <c r="J302" s="5"/>
    </row>
    <row r="303" spans="7:11" x14ac:dyDescent="0.4">
      <c r="G303" s="60"/>
      <c r="H303" s="61" t="s">
        <v>525</v>
      </c>
      <c r="I303" s="62"/>
      <c r="J303" s="62"/>
      <c r="K303" s="62"/>
    </row>
    <row r="304" spans="7:11" x14ac:dyDescent="0.4">
      <c r="I304" s="5"/>
      <c r="J304" s="5"/>
      <c r="K304" s="5"/>
    </row>
    <row r="305" spans="2:20" x14ac:dyDescent="0.4">
      <c r="H305" s="29" t="s">
        <v>381</v>
      </c>
      <c r="J305" s="25"/>
    </row>
    <row r="306" spans="2:20" x14ac:dyDescent="0.4">
      <c r="G306" s="3" t="s">
        <v>160</v>
      </c>
      <c r="H306" s="30" t="s">
        <v>382</v>
      </c>
      <c r="I306" s="26" t="s">
        <v>73</v>
      </c>
      <c r="J306" s="39" t="e">
        <f>$C$64/$C$63+1</f>
        <v>#DIV/0!</v>
      </c>
    </row>
    <row r="307" spans="2:20" x14ac:dyDescent="0.4">
      <c r="G307" s="3" t="s">
        <v>161</v>
      </c>
      <c r="H307" s="10" t="s">
        <v>383</v>
      </c>
      <c r="I307" s="26" t="s">
        <v>73</v>
      </c>
      <c r="J307" s="40" t="e">
        <f>$C$65/$C$63+1</f>
        <v>#DIV/0!</v>
      </c>
    </row>
    <row r="308" spans="2:20" x14ac:dyDescent="0.4">
      <c r="H308" s="10" t="s">
        <v>395</v>
      </c>
      <c r="I308" s="26" t="s">
        <v>73</v>
      </c>
      <c r="J308" s="40">
        <f>_xlfn.CEILING.MATH($C$66/2)</f>
        <v>0</v>
      </c>
    </row>
    <row r="309" spans="2:20" x14ac:dyDescent="0.4">
      <c r="H309" s="10" t="s">
        <v>396</v>
      </c>
      <c r="I309" s="11" t="s">
        <v>73</v>
      </c>
      <c r="J309" s="40">
        <f>QUOTIENT($C$66,2)</f>
        <v>0</v>
      </c>
    </row>
    <row r="310" spans="2:20" x14ac:dyDescent="0.4">
      <c r="H310" s="27" t="s">
        <v>397</v>
      </c>
      <c r="I310" s="54"/>
    </row>
    <row r="311" spans="2:20" x14ac:dyDescent="0.4">
      <c r="G311" s="3" t="s">
        <v>204</v>
      </c>
      <c r="H311" s="10" t="str">
        <f>IF($C$66&gt;=3,"ディンプル1列目-トップ端 湾曲中心間X距離", "-")</f>
        <v>-</v>
      </c>
      <c r="I311" s="11" t="s">
        <v>77</v>
      </c>
      <c r="J311" s="26" t="str">
        <f>IF($C$66&gt;=$C$122-5,$P$105-$P$31, "-")</f>
        <v>-</v>
      </c>
    </row>
    <row r="312" spans="2:20" ht="16.5" x14ac:dyDescent="0.4">
      <c r="G312" s="3" t="s">
        <v>205</v>
      </c>
      <c r="H312" s="10" t="str">
        <f>IF($C$66&gt;=4,"ディンプル2列目-トップ端 湾曲中心間X距離", "-")</f>
        <v>-</v>
      </c>
      <c r="I312" s="11" t="s">
        <v>77</v>
      </c>
      <c r="J312" s="26" t="str">
        <f>IF($C$66&gt;=$C122-4,$P$106-$P$31, "-")</f>
        <v>-</v>
      </c>
    </row>
    <row r="313" spans="2:20" s="3" customFormat="1" x14ac:dyDescent="0.4">
      <c r="B313" s="1"/>
      <c r="C313" s="5"/>
      <c r="D313" s="73"/>
      <c r="E313" s="73"/>
      <c r="F313" s="1"/>
      <c r="H313" s="10" t="str">
        <f>IF($C$66&gt;=5,"ディンプル3列目-トップ端 湾曲中心間X距離", "-")</f>
        <v>-</v>
      </c>
      <c r="I313" s="11" t="s">
        <v>77</v>
      </c>
      <c r="J313" s="26" t="str">
        <f>IF($C$66&gt;=$C$122-3,$P$107-$P$31, "-")</f>
        <v>-</v>
      </c>
      <c r="L313" s="1"/>
      <c r="N313" s="36"/>
      <c r="O313" s="44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3"/>
      <c r="E314" s="73"/>
      <c r="F314" s="1"/>
      <c r="H314" s="10" t="str">
        <f>IF($C$66&gt;=6,"ディンプル4列目-トップ端 湾曲中心間X距離", "-")</f>
        <v>-</v>
      </c>
      <c r="I314" s="11" t="s">
        <v>77</v>
      </c>
      <c r="J314" s="26" t="str">
        <f>IF($C$66&gt;=$C$122-2,$P$108-$P$31, "-")</f>
        <v>-</v>
      </c>
      <c r="L314" s="1"/>
      <c r="N314" s="36"/>
      <c r="O314" s="44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3"/>
      <c r="E315" s="73"/>
      <c r="F315" s="1"/>
      <c r="H315" s="10" t="str">
        <f>IF($C$66&gt;=7,"ディンプル5列目-トップ端 湾曲中心間X距離", "-")</f>
        <v>-</v>
      </c>
      <c r="I315" s="11" t="s">
        <v>77</v>
      </c>
      <c r="J315" s="26" t="str">
        <f>IF($C$66&gt;=$C122-1,$P$109-$P$31, "-")</f>
        <v>-</v>
      </c>
      <c r="L315" s="1"/>
      <c r="N315" s="36"/>
      <c r="O315" s="44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3"/>
      <c r="E316" s="73"/>
      <c r="F316" s="1"/>
      <c r="H316" s="10" t="str">
        <f>IF($C$66&gt;=8,"ディンプル6列目-トップ端 湾曲中心間X距離", "-")</f>
        <v>-</v>
      </c>
      <c r="I316" s="11" t="s">
        <v>77</v>
      </c>
      <c r="J316" s="26" t="str">
        <f>IF($C$66&gt;=$C122,$P$110-$P$31, "-")</f>
        <v>-</v>
      </c>
      <c r="L316" s="1"/>
      <c r="N316" s="36"/>
      <c r="O316" s="44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3"/>
      <c r="E317" s="73"/>
      <c r="F317" s="1"/>
      <c r="H317" s="10" t="s">
        <v>398</v>
      </c>
      <c r="I317" s="11" t="s">
        <v>77</v>
      </c>
      <c r="J317" s="26">
        <f>$P$111-$P$31</f>
        <v>0</v>
      </c>
      <c r="L317" s="1"/>
      <c r="N317" s="36"/>
      <c r="O317" s="44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3"/>
      <c r="E318" s="73"/>
      <c r="F318" s="1"/>
      <c r="G318" s="3" t="s">
        <v>206</v>
      </c>
      <c r="H318" s="10" t="s">
        <v>399</v>
      </c>
      <c r="I318" s="11" t="s">
        <v>77</v>
      </c>
      <c r="J318" s="26">
        <f>$P$112-$P$31</f>
        <v>0</v>
      </c>
      <c r="L318" s="1"/>
      <c r="N318" s="36"/>
      <c r="O318" s="44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3"/>
      <c r="E319" s="73"/>
      <c r="F319" s="1"/>
      <c r="G319" s="3" t="s">
        <v>246</v>
      </c>
      <c r="H319" s="9" t="str">
        <f>IF($C$66&gt;=3,"（傾き前）1列目Z座標","-")</f>
        <v>-</v>
      </c>
      <c r="I319" s="11" t="s">
        <v>74</v>
      </c>
      <c r="J319" s="48" t="str">
        <f>IF($C$66&gt;=3,$J$9-$C$61,"-")</f>
        <v>-</v>
      </c>
      <c r="K319" s="26" t="str">
        <f>IF($C$66&gt;=3,$C$118+J319,"-")</f>
        <v>-</v>
      </c>
      <c r="L319" s="1"/>
      <c r="N319" s="36"/>
      <c r="O319" s="44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3"/>
      <c r="E320" s="73"/>
      <c r="F320" s="1"/>
      <c r="G320" s="3" t="s">
        <v>245</v>
      </c>
      <c r="H320" s="9" t="str">
        <f>IF($C$66&gt;=4,"（傾き前）2列目Z座標","-")</f>
        <v>-</v>
      </c>
      <c r="I320" s="11" t="s">
        <v>74</v>
      </c>
      <c r="J320" s="48" t="str">
        <f>IF($C$66&gt;=4,$J$9-$C$61-$C$62,"-")</f>
        <v>-</v>
      </c>
      <c r="K320" s="26" t="str">
        <f>IF($C$66&gt;=4,$C$118+J320,"-")</f>
        <v>-</v>
      </c>
      <c r="L320" s="1"/>
      <c r="N320" s="36"/>
      <c r="O320" s="44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3"/>
      <c r="E321" s="73"/>
      <c r="F321" s="1"/>
      <c r="H321" s="9" t="str">
        <f>IF($C$66&gt;=5,"（傾き前）3列目Z座標","-")</f>
        <v>-</v>
      </c>
      <c r="I321" s="11" t="s">
        <v>74</v>
      </c>
      <c r="J321" s="48" t="str">
        <f>IF($C$66&gt;=5,$J$9-$C$61-2*$C$62,"-")</f>
        <v>-</v>
      </c>
      <c r="K321" s="26" t="str">
        <f>IF($C$66&gt;=5,$C$118+J321,"-")</f>
        <v>-</v>
      </c>
      <c r="L321" s="1"/>
      <c r="N321" s="36"/>
      <c r="O321" s="44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3"/>
      <c r="E322" s="73"/>
      <c r="F322" s="1"/>
      <c r="H322" s="9" t="str">
        <f>IF($C$66&gt;=6,"（傾き前）4列目Z座標","-")</f>
        <v>-</v>
      </c>
      <c r="I322" s="11" t="s">
        <v>74</v>
      </c>
      <c r="J322" s="48" t="str">
        <f>IF($C$66&gt;=6,$J$9-$C$61-3*$C$62,"-")</f>
        <v>-</v>
      </c>
      <c r="K322" s="26" t="str">
        <f>IF($C$66&gt;=6,$C$118+J322,"-")</f>
        <v>-</v>
      </c>
      <c r="L322" s="1"/>
      <c r="N322" s="36"/>
      <c r="O322" s="44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3"/>
      <c r="E323" s="73"/>
      <c r="F323" s="1"/>
      <c r="H323" s="9" t="str">
        <f>IF($C$66&gt;=7,"（傾き前）5列目Z座標","-")</f>
        <v>-</v>
      </c>
      <c r="I323" s="11" t="s">
        <v>74</v>
      </c>
      <c r="J323" s="48" t="str">
        <f>IF($C$66&gt;=7,$J$9-$C$61-4*$C$62,"-")</f>
        <v>-</v>
      </c>
      <c r="K323" s="26" t="str">
        <f>IF($C$66&gt;=7,$C$118+J323,"-")</f>
        <v>-</v>
      </c>
      <c r="L323" s="1"/>
      <c r="N323" s="36"/>
      <c r="O323" s="44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3"/>
      <c r="E324" s="73"/>
      <c r="F324" s="1"/>
      <c r="H324" s="9" t="str">
        <f>IF($C$66&gt;=8,"（傾き前）6列目Z座標","-")</f>
        <v>-</v>
      </c>
      <c r="I324" s="11" t="s">
        <v>74</v>
      </c>
      <c r="J324" s="48" t="str">
        <f>IF($C$66&gt;=8,$J$9-$C$61-5*$C$62,"-")</f>
        <v>-</v>
      </c>
      <c r="K324" s="26" t="str">
        <f>IF($C$66&gt;=8,$C$118+J324,"-")</f>
        <v>-</v>
      </c>
      <c r="L324" s="1"/>
      <c r="N324" s="36"/>
      <c r="O324" s="44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3"/>
      <c r="E325" s="73"/>
      <c r="F325" s="1"/>
      <c r="H325" s="9" t="s">
        <v>247</v>
      </c>
      <c r="I325" s="11" t="s">
        <v>74</v>
      </c>
      <c r="J325" s="48" t="e">
        <f>$J$9-$C$61-($C$66-2)*$C$62</f>
        <v>#NUM!</v>
      </c>
      <c r="K325" s="26" t="e">
        <f>$C$118+J325</f>
        <v>#NUM!</v>
      </c>
      <c r="L325" s="1"/>
      <c r="N325" s="36"/>
      <c r="O325" s="44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3"/>
      <c r="E326" s="73"/>
      <c r="F326" s="1"/>
      <c r="G326" s="3" t="s">
        <v>249</v>
      </c>
      <c r="H326" s="9" t="s">
        <v>248</v>
      </c>
      <c r="I326" s="11" t="s">
        <v>74</v>
      </c>
      <c r="J326" s="48" t="e">
        <f>$J$9-$C$61-($C$66-1)*$C$62</f>
        <v>#NUM!</v>
      </c>
      <c r="K326" s="26" t="e">
        <f>$C$118+J326</f>
        <v>#NUM!</v>
      </c>
      <c r="L326" s="1"/>
      <c r="N326" s="36"/>
      <c r="O326" s="44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3"/>
      <c r="E327" s="73"/>
      <c r="F327" s="1"/>
      <c r="G327" s="3" t="s">
        <v>209</v>
      </c>
      <c r="H327" s="10" t="s">
        <v>212</v>
      </c>
      <c r="I327" s="26" t="s">
        <v>77</v>
      </c>
      <c r="J327" s="26" t="e">
        <f ca="1">$P$113+$C$19*2</f>
        <v>#REF!</v>
      </c>
      <c r="L327" s="1"/>
      <c r="N327" s="36"/>
      <c r="O327" s="44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3"/>
      <c r="E328" s="73"/>
      <c r="F328" s="1"/>
      <c r="G328" s="3" t="s">
        <v>211</v>
      </c>
      <c r="H328" s="10" t="str">
        <f>IF($C$66&gt;=3,"1列目 AC内径（水平・めっき含・概算）","-")</f>
        <v>-</v>
      </c>
      <c r="I328" s="26" t="s">
        <v>77</v>
      </c>
      <c r="J328" s="26" t="str">
        <f>IF($C$66&gt;=3,($P$89*$P$127+$P$97*$P$119)/($P$81-$P$73)+$C$19*2,"-")</f>
        <v>-</v>
      </c>
      <c r="L328" s="1"/>
      <c r="N328" s="36"/>
      <c r="O328" s="44"/>
      <c r="P328" s="2"/>
      <c r="Q328" s="1"/>
      <c r="R328" s="1"/>
      <c r="S328" s="1"/>
      <c r="T328" s="1"/>
    </row>
    <row r="329" spans="2:20" x14ac:dyDescent="0.4">
      <c r="H329" s="10" t="s">
        <v>213</v>
      </c>
      <c r="I329" s="46" t="s">
        <v>77</v>
      </c>
      <c r="J329" s="26" t="e">
        <f ca="1">($P$96*$P$134+$P$104*$P$126)/($P$88-$P$80)+$C$19*2</f>
        <v>#REF!</v>
      </c>
    </row>
    <row r="330" spans="2:20" x14ac:dyDescent="0.4">
      <c r="H330" s="10" t="s">
        <v>401</v>
      </c>
      <c r="I330" s="26" t="s">
        <v>75</v>
      </c>
      <c r="J330" s="26" t="e">
        <f ca="1">$J$13+$J$131</f>
        <v>#NUM!</v>
      </c>
      <c r="K330" s="26" t="e">
        <f ca="1">-$C$119+$J$330</f>
        <v>#NUM!</v>
      </c>
    </row>
    <row r="331" spans="2:20" x14ac:dyDescent="0.4">
      <c r="G331" s="3" t="s">
        <v>224</v>
      </c>
      <c r="H331" s="47" t="s">
        <v>402</v>
      </c>
      <c r="I331" s="11" t="s">
        <v>75</v>
      </c>
      <c r="J331" s="46" t="e">
        <f ca="1">DEGREES($P$149)</f>
        <v>#REF!</v>
      </c>
    </row>
    <row r="332" spans="2:20" x14ac:dyDescent="0.4">
      <c r="G332" s="3" t="s">
        <v>224</v>
      </c>
      <c r="H332" s="47" t="s">
        <v>403</v>
      </c>
      <c r="I332" s="11" t="s">
        <v>75</v>
      </c>
      <c r="J332" s="46" t="e">
        <f ca="1">$J$13+$J$331</f>
        <v>#NUM!</v>
      </c>
      <c r="K332" s="46" t="e">
        <f ca="1">-$C$119+$J$332</f>
        <v>#NUM!</v>
      </c>
    </row>
    <row r="333" spans="2:20" x14ac:dyDescent="0.4">
      <c r="H333" s="10" t="s">
        <v>404</v>
      </c>
      <c r="I333" s="49" t="s">
        <v>77</v>
      </c>
      <c r="J333" s="26" t="e">
        <f ca="1">MIN($P$152, $P$153)</f>
        <v>#REF!</v>
      </c>
    </row>
    <row r="334" spans="2:20" x14ac:dyDescent="0.4">
      <c r="G334" s="3" t="s">
        <v>250</v>
      </c>
      <c r="H334" s="10" t="s">
        <v>290</v>
      </c>
      <c r="I334" s="11" t="s">
        <v>76</v>
      </c>
      <c r="J334" s="26" t="e">
        <f ca="1">($P$89*$P$162+$P$97*$P$154)/($P$81-$P$73)+$C$19*2</f>
        <v>#VALUE!</v>
      </c>
    </row>
    <row r="335" spans="2:20" x14ac:dyDescent="0.4">
      <c r="H335" s="10" t="s">
        <v>252</v>
      </c>
      <c r="I335" s="11" t="s">
        <v>76</v>
      </c>
      <c r="J335" s="26" t="e">
        <f ca="1">($P$96*$P$169+$P$104*$P$161)/($P$88-$P$80)+$C$19*2</f>
        <v>#REF!</v>
      </c>
    </row>
    <row r="336" spans="2:20" x14ac:dyDescent="0.4">
      <c r="H336" s="27" t="s">
        <v>406</v>
      </c>
      <c r="I336" s="54"/>
    </row>
    <row r="337" spans="8:10" x14ac:dyDescent="0.4">
      <c r="H337" s="10" t="str">
        <f>IF($C$66&gt;=3,"ディンプル1列目-トップ端 湾曲中心間X距離", "-")</f>
        <v>-</v>
      </c>
      <c r="I337" s="11" t="s">
        <v>77</v>
      </c>
      <c r="J337" s="26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77</v>
      </c>
      <c r="J338" s="26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77</v>
      </c>
      <c r="J339" s="26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77</v>
      </c>
      <c r="J340" s="26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77</v>
      </c>
      <c r="J341" s="26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77</v>
      </c>
      <c r="J342" s="26" t="str">
        <f>IF($C$66&gt;=$C$122,$J$316*$P$143-($C$61+5*$C$62)*$P$142, "-")</f>
        <v>-</v>
      </c>
    </row>
    <row r="343" spans="8:10" x14ac:dyDescent="0.4">
      <c r="H343" s="10" t="s">
        <v>398</v>
      </c>
      <c r="I343" s="11" t="s">
        <v>77</v>
      </c>
      <c r="J343" s="26" t="e">
        <f ca="1">$J$317*$P$143-($C$61+($C$66-2)*$C$62)*$P$142</f>
        <v>#VALUE!</v>
      </c>
    </row>
    <row r="344" spans="8:10" x14ac:dyDescent="0.4">
      <c r="H344" s="10" t="s">
        <v>399</v>
      </c>
      <c r="I344" s="11" t="s">
        <v>77</v>
      </c>
      <c r="J344" s="26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74</v>
      </c>
      <c r="J345" s="26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74</v>
      </c>
      <c r="J346" s="26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74</v>
      </c>
      <c r="J347" s="26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74</v>
      </c>
      <c r="J348" s="26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74</v>
      </c>
      <c r="J349" s="26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74</v>
      </c>
      <c r="J350" s="26" t="str">
        <f>IF($C$66&gt;=$C$122-0,$J$316*$P$142+($C$61+5*$C$62)*$P$143, "-")</f>
        <v>-</v>
      </c>
    </row>
    <row r="351" spans="8:10" x14ac:dyDescent="0.4">
      <c r="H351" s="10" t="s">
        <v>408</v>
      </c>
      <c r="I351" s="11" t="s">
        <v>74</v>
      </c>
      <c r="J351" s="26" t="e">
        <f ca="1">$J$317*$P$142+($C$61+($C$66-2)*$C$62)*$P$143</f>
        <v>#VALUE!</v>
      </c>
    </row>
    <row r="352" spans="8:10" x14ac:dyDescent="0.4">
      <c r="H352" s="10" t="s">
        <v>409</v>
      </c>
      <c r="I352" s="11" t="s">
        <v>74</v>
      </c>
      <c r="J352" s="26" t="e">
        <f ca="1">$J$318*$P$142+($C$61+($C$66-1)*$C$62)*$P$143</f>
        <v>#VALUE!</v>
      </c>
    </row>
    <row r="353" spans="7:11" x14ac:dyDescent="0.4">
      <c r="H353" s="27" t="s">
        <v>410</v>
      </c>
      <c r="I353" s="54"/>
    </row>
    <row r="354" spans="7:11" x14ac:dyDescent="0.4">
      <c r="G354" s="3" t="s">
        <v>281</v>
      </c>
      <c r="H354" s="9" t="s">
        <v>286</v>
      </c>
      <c r="I354" s="11" t="s">
        <v>77</v>
      </c>
      <c r="J354" s="26" t="e">
        <f>$K$24-$C117</f>
        <v>#NUM!</v>
      </c>
      <c r="K354" s="26" t="e">
        <f>$C$117+J354</f>
        <v>#NUM!</v>
      </c>
    </row>
    <row r="355" spans="7:11" x14ac:dyDescent="0.4">
      <c r="G355" s="3" t="s">
        <v>282</v>
      </c>
      <c r="H355" s="9" t="s">
        <v>287</v>
      </c>
      <c r="I355" s="11" t="s">
        <v>74</v>
      </c>
      <c r="J355" s="26" t="e">
        <f>$J$9</f>
        <v>#NUM!</v>
      </c>
      <c r="K355" s="26" t="e">
        <f>$C$118+J355</f>
        <v>#NUM!</v>
      </c>
    </row>
    <row r="356" spans="7:11" x14ac:dyDescent="0.4">
      <c r="G356" s="3" t="s">
        <v>283</v>
      </c>
      <c r="H356" s="9" t="s">
        <v>288</v>
      </c>
      <c r="I356" s="11" t="s">
        <v>77</v>
      </c>
      <c r="J356" s="26" t="e">
        <f ca="1">$J$354*$P$143+$J$355*$P$142</f>
        <v>#NUM!</v>
      </c>
      <c r="K356" s="26" t="e">
        <f ca="1">$C$117+J356</f>
        <v>#NUM!</v>
      </c>
    </row>
    <row r="357" spans="7:11" x14ac:dyDescent="0.4">
      <c r="G357" s="3" t="s">
        <v>284</v>
      </c>
      <c r="H357" s="9" t="s">
        <v>289</v>
      </c>
      <c r="I357" s="49" t="s">
        <v>74</v>
      </c>
      <c r="J357" s="26" t="e">
        <f ca="1">-$J$354*$P$142+$J$355*$P$143</f>
        <v>#NUM!</v>
      </c>
      <c r="K357" s="26" t="e">
        <f ca="1">$C$118+J357</f>
        <v>#NUM!</v>
      </c>
    </row>
    <row r="358" spans="7:11" x14ac:dyDescent="0.4">
      <c r="H358" s="9" t="s">
        <v>285</v>
      </c>
      <c r="I358" s="46" t="s">
        <v>77</v>
      </c>
      <c r="J358" s="26" t="e">
        <f ca="1">$J$356-$J$354</f>
        <v>#NUM!</v>
      </c>
    </row>
    <row r="359" spans="7:11" x14ac:dyDescent="0.4">
      <c r="H359" s="9" t="s">
        <v>656</v>
      </c>
      <c r="I359" s="49" t="s">
        <v>74</v>
      </c>
      <c r="J359" s="26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E26">
    <cfRule type="expression" dxfId="193" priority="32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E48">
    <cfRule type="expression" dxfId="173" priority="1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OR($C$7&lt;0, ISBLANK($C$7))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76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80">
      <formula>I7="X"</formula>
    </cfRule>
    <cfRule type="expression" dxfId="61" priority="1783">
      <formula>I7="Z"</formula>
    </cfRule>
    <cfRule type="expression" dxfId="60" priority="1791">
      <formula>I7="B"</formula>
    </cfRule>
  </conditionalFormatting>
  <conditionalFormatting sqref="I7:I116 I137:I210 I285:I304 I227:I271 I118:I132 I134:I135 I212:I225 I273:I283 I306:I1048576">
    <cfRule type="expression" dxfId="59" priority="1778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74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13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81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7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174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37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48:C59 C12:C13 I15:K1048576 D2:E1048576 C20:C22 C123:C124 C8:C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 C7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2024-10-03T02:21:57Z</dcterms:modified>
</cp:coreProperties>
</file>