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Documents\GitHub\mould_open\Created_Python_Scripts\"/>
    </mc:Choice>
  </mc:AlternateContent>
  <xr:revisionPtr revIDLastSave="0" documentId="13_ncr:1_{70F333CE-9F32-4DCC-B469-7CB1725E4D82}" xr6:coauthVersionLast="47" xr6:coauthVersionMax="47" xr10:uidLastSave="{00000000-0000-0000-0000-000000000000}"/>
  <bookViews>
    <workbookView xWindow="28680" yWindow="-120" windowWidth="37710" windowHeight="21840" tabRatio="682" xr2:uid="{331D296A-DE97-4357-9338-22F5C8F49D08}"/>
  </bookViews>
  <sheets>
    <sheet name="information" sheetId="75" r:id="rId1"/>
    <sheet name="e01188" sheetId="78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2" i="78" l="1"/>
  <c r="E42" i="78"/>
  <c r="G42" i="78" s="1"/>
  <c r="F41" i="78"/>
  <c r="E41" i="78"/>
  <c r="G41" i="78" s="1"/>
  <c r="F40" i="78"/>
  <c r="E40" i="78"/>
  <c r="G40" i="78" s="1"/>
  <c r="F39" i="78"/>
  <c r="E39" i="78"/>
  <c r="G39" i="78" s="1"/>
  <c r="F38" i="78"/>
  <c r="E38" i="78"/>
  <c r="G38" i="78" s="1"/>
  <c r="F37" i="78"/>
  <c r="E37" i="78"/>
  <c r="G37" i="78" s="1"/>
  <c r="F36" i="78"/>
  <c r="E36" i="78"/>
  <c r="G36" i="78" s="1"/>
  <c r="F35" i="78"/>
  <c r="E35" i="78"/>
  <c r="G35" i="78" s="1"/>
  <c r="F34" i="78"/>
  <c r="E34" i="78"/>
  <c r="G34" i="78" s="1"/>
  <c r="F33" i="78"/>
  <c r="E33" i="78"/>
  <c r="G33" i="78" s="1"/>
  <c r="F32" i="78"/>
  <c r="E32" i="78"/>
  <c r="G32" i="78" s="1"/>
  <c r="F31" i="78"/>
  <c r="E31" i="78"/>
  <c r="G31" i="78" s="1"/>
  <c r="F30" i="78"/>
  <c r="E30" i="78"/>
  <c r="G30" i="78" s="1"/>
  <c r="F29" i="78"/>
  <c r="E29" i="78"/>
  <c r="G29" i="78" s="1"/>
  <c r="F28" i="78"/>
  <c r="E28" i="78"/>
  <c r="G28" i="78" s="1"/>
  <c r="F27" i="78"/>
  <c r="E27" i="78"/>
  <c r="G27" i="78" s="1"/>
  <c r="F26" i="78"/>
  <c r="E26" i="78"/>
  <c r="G26" i="78" s="1"/>
  <c r="F25" i="78"/>
  <c r="E25" i="78"/>
  <c r="G25" i="78" s="1"/>
  <c r="F24" i="78"/>
  <c r="E24" i="78"/>
  <c r="G24" i="78" s="1"/>
  <c r="F23" i="78"/>
  <c r="E23" i="78"/>
  <c r="G23" i="78" s="1"/>
  <c r="F22" i="78"/>
  <c r="E22" i="78"/>
  <c r="G22" i="78" s="1"/>
  <c r="F21" i="78"/>
  <c r="E21" i="78"/>
  <c r="G21" i="78" s="1"/>
  <c r="F20" i="78"/>
  <c r="E20" i="78"/>
  <c r="G20" i="78" s="1"/>
  <c r="F19" i="78"/>
  <c r="E19" i="78"/>
  <c r="G19" i="78" s="1"/>
  <c r="F18" i="78"/>
  <c r="E18" i="78"/>
  <c r="G18" i="78" s="1"/>
  <c r="F17" i="78"/>
  <c r="E17" i="78"/>
  <c r="G17" i="78" s="1"/>
  <c r="F16" i="78"/>
  <c r="E16" i="78"/>
  <c r="G16" i="78" s="1"/>
  <c r="F15" i="78"/>
  <c r="E15" i="78"/>
  <c r="G15" i="78" s="1"/>
  <c r="F14" i="78"/>
  <c r="E14" i="78"/>
  <c r="G14" i="78" s="1"/>
  <c r="F13" i="78"/>
  <c r="E13" i="78"/>
  <c r="G13" i="78" s="1"/>
  <c r="F12" i="78"/>
  <c r="E12" i="78"/>
  <c r="G12" i="78" s="1"/>
  <c r="F11" i="78"/>
  <c r="E11" i="78"/>
  <c r="G11" i="78" s="1"/>
  <c r="F10" i="78"/>
  <c r="E10" i="78"/>
  <c r="G10" i="78" s="1"/>
  <c r="F9" i="78"/>
  <c r="E9" i="78"/>
  <c r="G9" i="78" s="1"/>
  <c r="F8" i="78"/>
  <c r="E8" i="78"/>
  <c r="G8" i="78" s="1"/>
  <c r="F7" i="78"/>
  <c r="E7" i="78"/>
  <c r="G7" i="78" s="1"/>
  <c r="F6" i="78"/>
  <c r="E6" i="78"/>
  <c r="G6" i="78" s="1"/>
  <c r="F5" i="78"/>
  <c r="E5" i="78"/>
  <c r="G5" i="78" s="1"/>
  <c r="F4" i="78"/>
  <c r="E4" i="78"/>
  <c r="G4" i="78" s="1"/>
  <c r="F3" i="78"/>
  <c r="E3" i="78"/>
  <c r="G3" i="78" s="1"/>
  <c r="Z134" i="75" l="1" a="1"/>
  <c r="Z134" i="75" s="1"/>
  <c r="Z217" i="75"/>
  <c r="Z213" i="75" a="1"/>
  <c r="Z213" i="75" s="1"/>
  <c r="Z223" i="75"/>
  <c r="Z70" i="75"/>
  <c r="Z203" i="75"/>
  <c r="Z199" i="75" a="1"/>
  <c r="Z199" i="75" s="1"/>
  <c r="Z209" i="75"/>
  <c r="Z277" i="75"/>
  <c r="Z274" i="75" a="1"/>
  <c r="Z274" i="75" s="1"/>
  <c r="Z281" i="75"/>
  <c r="Z55" i="75"/>
  <c r="Z47" i="75"/>
  <c r="Z37" i="75"/>
  <c r="Z264" i="75"/>
  <c r="Z270" i="75"/>
  <c r="Z260" i="75" a="1"/>
  <c r="Z260" i="75" s="1"/>
  <c r="AI21" i="75"/>
  <c r="AI22" i="75"/>
  <c r="AC57" i="75" l="1"/>
  <c r="AC58" i="75"/>
  <c r="Z4" i="75" l="1"/>
  <c r="AA4" i="75" s="1"/>
  <c r="Z182" i="75"/>
  <c r="AC12" i="75"/>
  <c r="AC11" i="75"/>
  <c r="AC10" i="75"/>
  <c r="AC9" i="75"/>
  <c r="Z106" i="75"/>
  <c r="Z196" i="75"/>
  <c r="Z195" i="75"/>
  <c r="Z72" i="75" s="1"/>
  <c r="Z187" i="75"/>
  <c r="Z186" i="75"/>
  <c r="Z101" i="75" s="1"/>
  <c r="AF24" i="75"/>
  <c r="Z69" i="75" s="1"/>
  <c r="AF25" i="75"/>
  <c r="AF23" i="75"/>
  <c r="Z147" i="75" s="1"/>
  <c r="AF22" i="75"/>
  <c r="AC21" i="75"/>
  <c r="AC22" i="75"/>
  <c r="AC23" i="75"/>
  <c r="AC24" i="75"/>
  <c r="AC25" i="75"/>
  <c r="AC26" i="75"/>
  <c r="AF21" i="75"/>
  <c r="Z257" i="75" s="1"/>
  <c r="AF20" i="75"/>
  <c r="AC20" i="75"/>
  <c r="AF19" i="75"/>
  <c r="Z293" i="75" s="1"/>
  <c r="AF18" i="75"/>
  <c r="Z238" i="75" s="1"/>
  <c r="AC17" i="75"/>
  <c r="AC18" i="75"/>
  <c r="AC19" i="75"/>
  <c r="AF17" i="75"/>
  <c r="Z27" i="75" s="1"/>
  <c r="AF16" i="75"/>
  <c r="Z31" i="75" s="1"/>
  <c r="AC16" i="75"/>
  <c r="AC27" i="75"/>
  <c r="AF3" i="75"/>
  <c r="Z3" i="75"/>
  <c r="Z2" i="75"/>
  <c r="Z216" i="75"/>
  <c r="Z218" i="75" s="1"/>
  <c r="Z146" i="75" l="1"/>
  <c r="Z36" i="75"/>
  <c r="AF9" i="75"/>
  <c r="Z294" i="75"/>
  <c r="Z153" i="75"/>
  <c r="Z113" i="75"/>
  <c r="Z104" i="75"/>
  <c r="AF43" i="75"/>
  <c r="Z65" i="75"/>
  <c r="Z290" i="75"/>
  <c r="Z190" i="75"/>
  <c r="Z291" i="75"/>
  <c r="Z191" i="75"/>
  <c r="Z244" i="75"/>
  <c r="Z296" i="75"/>
  <c r="Z32" i="75"/>
  <c r="Z292" i="75"/>
  <c r="Z250" i="75"/>
  <c r="Z239" i="75"/>
  <c r="Z251" i="75"/>
  <c r="AF27" i="75"/>
  <c r="AF32" i="75" s="1"/>
  <c r="Z252" i="75"/>
  <c r="Z149" i="75"/>
  <c r="Z111" i="75"/>
  <c r="Z80" i="75"/>
  <c r="Z43" i="75"/>
  <c r="AF26" i="75"/>
  <c r="Z240" i="75"/>
  <c r="Z188" i="75"/>
  <c r="Z164" i="75"/>
  <c r="Z148" i="75"/>
  <c r="Z102" i="75"/>
  <c r="Z64" i="75"/>
  <c r="AI7" i="75"/>
  <c r="Z253" i="75"/>
  <c r="Z241" i="75"/>
  <c r="Z189" i="75"/>
  <c r="Z165" i="75"/>
  <c r="AF31" i="75"/>
  <c r="Z207" i="75"/>
  <c r="Z121" i="75"/>
  <c r="Z68" i="75"/>
  <c r="AF62" i="75"/>
  <c r="AF63" i="75" s="1"/>
  <c r="Z221" i="75"/>
  <c r="Z193" i="75"/>
  <c r="Z87" i="75"/>
  <c r="AF65" i="75"/>
  <c r="AF71" i="75" s="1"/>
  <c r="AF111" i="75" s="1"/>
  <c r="Z5" i="75"/>
  <c r="AF28" i="75" s="1"/>
  <c r="Z219" i="75"/>
  <c r="AC3" i="75"/>
  <c r="AC4" i="75"/>
  <c r="Z174" i="75"/>
  <c r="Z175" i="75"/>
  <c r="Z172" i="75"/>
  <c r="Z171" i="75"/>
  <c r="Z170" i="75"/>
  <c r="Z169" i="75"/>
  <c r="X350" i="75"/>
  <c r="X349" i="75"/>
  <c r="X348" i="75"/>
  <c r="X347" i="75"/>
  <c r="X346" i="75"/>
  <c r="X345" i="75"/>
  <c r="X342" i="75"/>
  <c r="X341" i="75"/>
  <c r="X340" i="75"/>
  <c r="X339" i="75"/>
  <c r="X338" i="75"/>
  <c r="X337" i="75"/>
  <c r="X328" i="75"/>
  <c r="X324" i="75"/>
  <c r="X323" i="75"/>
  <c r="X322" i="75"/>
  <c r="X321" i="75"/>
  <c r="X320" i="75"/>
  <c r="X319" i="75"/>
  <c r="X316" i="75"/>
  <c r="X315" i="75"/>
  <c r="X314" i="75"/>
  <c r="X313" i="75"/>
  <c r="X312" i="75"/>
  <c r="X311" i="75"/>
  <c r="Z309" i="75"/>
  <c r="Z308" i="75"/>
  <c r="Z307" i="75"/>
  <c r="Z306" i="75"/>
  <c r="Z295" i="75"/>
  <c r="Z287" i="75"/>
  <c r="Z286" i="75"/>
  <c r="Z283" i="75"/>
  <c r="Z280" i="75"/>
  <c r="Z276" i="75"/>
  <c r="Z271" i="75"/>
  <c r="Z269" i="75"/>
  <c r="Z263" i="75"/>
  <c r="Z262" i="75"/>
  <c r="Z256" i="75"/>
  <c r="Z255" i="75"/>
  <c r="Z249" i="75"/>
  <c r="Z247" i="75"/>
  <c r="Z243" i="75"/>
  <c r="Z237" i="75"/>
  <c r="Z235" i="75"/>
  <c r="Z230" i="75"/>
  <c r="Z228" i="75"/>
  <c r="Z225" i="75"/>
  <c r="Z222" i="75"/>
  <c r="Z215" i="75"/>
  <c r="Z210" i="75"/>
  <c r="Z208" i="75"/>
  <c r="Z202" i="75"/>
  <c r="Z194" i="75"/>
  <c r="Z185" i="75"/>
  <c r="AC197" i="75"/>
  <c r="Z184" i="75"/>
  <c r="AC196" i="75"/>
  <c r="Z183" i="75"/>
  <c r="AC195" i="75"/>
  <c r="Z181" i="75"/>
  <c r="AC194" i="75"/>
  <c r="Z180" i="75"/>
  <c r="AC193" i="75"/>
  <c r="AC192" i="75"/>
  <c r="AC191" i="75"/>
  <c r="AC190" i="75"/>
  <c r="AC189" i="75"/>
  <c r="AC188" i="75"/>
  <c r="AC187" i="75"/>
  <c r="AC186" i="75"/>
  <c r="Z163" i="75"/>
  <c r="AC185" i="75"/>
  <c r="Z162" i="75"/>
  <c r="AC184" i="75"/>
  <c r="Z161" i="75"/>
  <c r="AC183" i="75"/>
  <c r="Z160" i="75"/>
  <c r="AE182" i="75"/>
  <c r="AC182" i="75"/>
  <c r="Z159" i="75"/>
  <c r="AE181" i="75"/>
  <c r="AC181" i="75"/>
  <c r="Z158" i="75"/>
  <c r="AE180" i="75"/>
  <c r="AC180" i="75"/>
  <c r="Z157" i="75"/>
  <c r="AE179" i="75"/>
  <c r="AC179" i="75"/>
  <c r="AE178" i="75"/>
  <c r="AC178" i="75"/>
  <c r="AE177" i="75"/>
  <c r="AC177" i="75"/>
  <c r="AC176" i="75"/>
  <c r="AC175" i="75"/>
  <c r="AE174" i="75"/>
  <c r="AC174" i="75"/>
  <c r="Z151" i="75"/>
  <c r="AE173" i="75"/>
  <c r="AC173" i="75"/>
  <c r="AE172" i="75"/>
  <c r="AC172" i="75"/>
  <c r="AE171" i="75"/>
  <c r="AC171" i="75"/>
  <c r="AE170" i="75"/>
  <c r="AC170" i="75"/>
  <c r="AC169" i="75"/>
  <c r="AC168" i="75"/>
  <c r="Z145" i="75"/>
  <c r="AE167" i="75"/>
  <c r="AC167" i="75"/>
  <c r="Z144" i="75"/>
  <c r="AE166" i="75"/>
  <c r="AC166" i="75"/>
  <c r="AE165" i="75"/>
  <c r="AC165" i="75"/>
  <c r="AE164" i="75"/>
  <c r="AC164" i="75"/>
  <c r="AE163" i="75"/>
  <c r="AC163" i="75"/>
  <c r="AE162" i="75"/>
  <c r="AC162" i="75"/>
  <c r="Z139" i="75"/>
  <c r="AC161" i="75"/>
  <c r="AC160" i="75"/>
  <c r="Z137" i="75"/>
  <c r="AE159" i="75"/>
  <c r="AC159" i="75"/>
  <c r="AE158" i="75"/>
  <c r="AC158" i="75"/>
  <c r="AE157" i="75"/>
  <c r="AC157" i="75"/>
  <c r="AE156" i="75"/>
  <c r="AC156" i="75"/>
  <c r="AE155" i="75"/>
  <c r="AC155" i="75"/>
  <c r="AE154" i="75"/>
  <c r="AC154" i="75"/>
  <c r="AC153" i="75"/>
  <c r="AC152" i="75"/>
  <c r="Z129" i="75"/>
  <c r="AF151" i="75"/>
  <c r="AC151" i="75"/>
  <c r="Z128" i="75"/>
  <c r="AF150" i="75"/>
  <c r="AC150" i="75"/>
  <c r="Z127" i="75"/>
  <c r="AC149" i="75"/>
  <c r="Z126" i="75"/>
  <c r="AC148" i="75"/>
  <c r="Z125" i="75"/>
  <c r="AC147" i="75"/>
  <c r="Z124" i="75"/>
  <c r="AC146" i="75"/>
  <c r="Z123" i="75"/>
  <c r="AC145" i="75"/>
  <c r="Z122" i="75"/>
  <c r="AC144" i="75"/>
  <c r="AC143" i="75"/>
  <c r="AC142" i="75"/>
  <c r="Z119" i="75"/>
  <c r="AC141" i="75"/>
  <c r="Z118" i="75"/>
  <c r="AC140" i="75"/>
  <c r="AC139" i="75"/>
  <c r="AC138" i="75"/>
  <c r="AC137" i="75"/>
  <c r="AC136" i="75"/>
  <c r="AC135" i="75"/>
  <c r="AC134" i="75"/>
  <c r="AC133" i="75"/>
  <c r="Z110" i="75"/>
  <c r="AE132" i="75"/>
  <c r="AC132" i="75"/>
  <c r="AE131" i="75"/>
  <c r="AC131" i="75"/>
  <c r="AE130" i="75"/>
  <c r="AC130" i="75"/>
  <c r="AE129" i="75"/>
  <c r="AC129" i="75"/>
  <c r="AE128" i="75"/>
  <c r="AC128" i="75"/>
  <c r="AE127" i="75"/>
  <c r="AC127" i="75"/>
  <c r="AC126" i="75"/>
  <c r="AC125" i="75"/>
  <c r="AE124" i="75"/>
  <c r="AC124" i="75"/>
  <c r="AE123" i="75"/>
  <c r="AC123" i="75"/>
  <c r="Z100" i="75"/>
  <c r="AE122" i="75"/>
  <c r="AC122" i="75"/>
  <c r="AE121" i="75"/>
  <c r="AC121" i="75"/>
  <c r="AE120" i="75"/>
  <c r="AC120" i="75"/>
  <c r="AE119" i="75"/>
  <c r="AC119" i="75"/>
  <c r="AC118" i="75"/>
  <c r="Z95" i="75"/>
  <c r="AC117" i="75"/>
  <c r="AC116" i="75"/>
  <c r="AC115" i="75"/>
  <c r="Z92" i="75"/>
  <c r="AC114" i="75"/>
  <c r="AC113" i="75"/>
  <c r="AC112" i="75"/>
  <c r="Z89" i="75"/>
  <c r="AC111" i="75"/>
  <c r="Z88" i="75"/>
  <c r="AE110" i="75"/>
  <c r="AC110" i="75"/>
  <c r="AE109" i="75"/>
  <c r="AC109" i="75"/>
  <c r="AE108" i="75"/>
  <c r="AC108" i="75"/>
  <c r="AE107" i="75"/>
  <c r="AC107" i="75"/>
  <c r="Z84" i="75"/>
  <c r="AE106" i="75"/>
  <c r="AC106" i="75"/>
  <c r="AE105" i="75"/>
  <c r="AC105" i="75"/>
  <c r="AC104" i="75"/>
  <c r="AC103" i="75"/>
  <c r="AE102" i="75"/>
  <c r="AC102" i="75"/>
  <c r="Z79" i="75"/>
  <c r="AE101" i="75"/>
  <c r="AC101" i="75"/>
  <c r="AE100" i="75"/>
  <c r="AC100" i="75"/>
  <c r="AE99" i="75"/>
  <c r="AC99" i="75"/>
  <c r="Z76" i="75"/>
  <c r="AE98" i="75"/>
  <c r="AC98" i="75"/>
  <c r="AE97" i="75"/>
  <c r="AC97" i="75"/>
  <c r="Z74" i="75"/>
  <c r="AC96" i="75"/>
  <c r="AC95" i="75"/>
  <c r="AE94" i="75"/>
  <c r="AC94" i="75"/>
  <c r="Z71" i="75"/>
  <c r="AE93" i="75"/>
  <c r="AC93" i="75"/>
  <c r="AE92" i="75"/>
  <c r="AC92" i="75"/>
  <c r="AE91" i="75"/>
  <c r="AC91" i="75"/>
  <c r="AE90" i="75"/>
  <c r="AC90" i="75"/>
  <c r="AE89" i="75"/>
  <c r="AC89" i="75"/>
  <c r="AC88" i="75"/>
  <c r="AC87" i="75"/>
  <c r="AE86" i="75"/>
  <c r="AC86" i="75"/>
  <c r="Z63" i="75" a="1"/>
  <c r="Z63" i="75" s="1"/>
  <c r="AE85" i="75"/>
  <c r="AC85" i="75"/>
  <c r="AE84" i="75"/>
  <c r="AC84" i="75"/>
  <c r="AE83" i="75"/>
  <c r="AC83" i="75"/>
  <c r="AE82" i="75"/>
  <c r="AC82" i="75"/>
  <c r="AE81" i="75"/>
  <c r="AC81" i="75"/>
  <c r="Z58" i="75"/>
  <c r="AC80" i="75"/>
  <c r="AC79" i="75"/>
  <c r="AE78" i="75"/>
  <c r="AC78" i="75"/>
  <c r="AE77" i="75"/>
  <c r="AC77" i="75"/>
  <c r="AE76" i="75"/>
  <c r="AC76" i="75"/>
  <c r="AE75" i="75"/>
  <c r="AC75" i="75"/>
  <c r="Z52" i="75"/>
  <c r="AE74" i="75"/>
  <c r="AC74" i="75"/>
  <c r="Z51" i="75"/>
  <c r="AE73" i="75"/>
  <c r="AC73" i="75"/>
  <c r="AC72" i="75"/>
  <c r="AC71" i="75"/>
  <c r="AE70" i="75"/>
  <c r="AC70" i="75"/>
  <c r="AE69" i="75"/>
  <c r="AC69" i="75"/>
  <c r="AE68" i="75"/>
  <c r="AC68" i="75"/>
  <c r="AE67" i="75"/>
  <c r="AC67" i="75"/>
  <c r="AE66" i="75"/>
  <c r="AC66" i="75"/>
  <c r="AE65" i="75"/>
  <c r="AC65" i="75"/>
  <c r="Z42" i="75"/>
  <c r="AC64" i="75"/>
  <c r="AC63" i="75"/>
  <c r="AC62" i="75"/>
  <c r="Z39" i="75"/>
  <c r="AC61" i="75"/>
  <c r="Z38" i="75"/>
  <c r="AC60" i="75"/>
  <c r="AC59" i="75"/>
  <c r="AC56" i="75"/>
  <c r="AC55" i="75"/>
  <c r="AC54" i="75"/>
  <c r="AC53" i="75"/>
  <c r="AC52" i="75"/>
  <c r="Z30" i="75"/>
  <c r="AC51" i="75"/>
  <c r="AC50" i="75"/>
  <c r="AC49" i="75"/>
  <c r="AC48" i="75"/>
  <c r="AC47" i="75"/>
  <c r="AC46" i="75"/>
  <c r="AC45" i="75"/>
  <c r="X23" i="75"/>
  <c r="AC44" i="75"/>
  <c r="X22" i="75"/>
  <c r="AC43" i="75"/>
  <c r="AC42" i="75"/>
  <c r="AC41" i="75"/>
  <c r="AC40" i="75"/>
  <c r="AC39" i="75"/>
  <c r="AC38" i="75"/>
  <c r="AC37" i="75"/>
  <c r="AC36" i="75"/>
  <c r="AC35" i="75"/>
  <c r="AC34" i="75"/>
  <c r="AC33" i="75"/>
  <c r="AC32" i="75"/>
  <c r="AC31" i="75"/>
  <c r="AC30" i="75"/>
  <c r="AC29" i="75"/>
  <c r="AC28" i="75"/>
  <c r="AF15" i="75"/>
  <c r="AF187" i="75" s="1"/>
  <c r="AC15" i="75"/>
  <c r="AC14" i="75"/>
  <c r="AC13" i="75"/>
  <c r="AC8" i="75"/>
  <c r="AC7" i="75"/>
  <c r="AC6" i="75"/>
  <c r="AC5" i="75"/>
  <c r="AF2" i="75"/>
  <c r="AC2" i="75"/>
  <c r="AF78" i="75"/>
  <c r="AF124" i="75"/>
  <c r="AF86" i="75" a="1"/>
  <c r="AF77" i="75"/>
  <c r="AF158" i="75" s="1"/>
  <c r="AF85" i="75" a="1"/>
  <c r="Z48" i="75"/>
  <c r="AF118" i="75"/>
  <c r="AF116" i="75"/>
  <c r="AF117" i="75"/>
  <c r="Z205" i="75" l="1"/>
  <c r="Z204" i="75"/>
  <c r="Z266" i="75"/>
  <c r="Z265" i="75"/>
  <c r="AF36" i="75"/>
  <c r="AF33" i="75"/>
  <c r="AF37" i="75" s="1"/>
  <c r="AF35" i="75"/>
  <c r="AA5" i="75"/>
  <c r="AF59" i="75"/>
  <c r="AF60" i="75" s="1"/>
  <c r="Z50" i="75"/>
  <c r="AA50" i="75" s="1"/>
  <c r="Z35" i="75"/>
  <c r="Z268" i="75"/>
  <c r="Z279" i="75"/>
  <c r="AF34" i="75"/>
  <c r="AF69" i="75"/>
  <c r="AF109" i="75" s="1"/>
  <c r="Z315" i="75" s="1"/>
  <c r="AF70" i="75"/>
  <c r="AF110" i="75" s="1"/>
  <c r="Z316" i="75" s="1"/>
  <c r="AF85" i="75"/>
  <c r="AF93" i="75"/>
  <c r="AF86" i="75"/>
  <c r="AF94" i="75"/>
  <c r="AF67" i="75"/>
  <c r="AF107" i="75" s="1"/>
  <c r="Z313" i="75" s="1"/>
  <c r="Z317" i="75"/>
  <c r="AF193" i="75"/>
  <c r="AF66" i="75"/>
  <c r="AF106" i="75" s="1"/>
  <c r="Z312" i="75" s="1"/>
  <c r="AF14" i="75"/>
  <c r="AF64" i="75"/>
  <c r="AF72" i="75"/>
  <c r="AF112" i="75" s="1"/>
  <c r="Z318" i="75" s="1"/>
  <c r="AF105" i="75"/>
  <c r="Z311" i="75" s="1"/>
  <c r="AF68" i="75"/>
  <c r="AF108" i="75" s="1"/>
  <c r="Z314" i="75" s="1"/>
  <c r="AF50" i="75"/>
  <c r="AF188" i="75"/>
  <c r="AF190" i="75" s="1"/>
  <c r="AF159" i="75"/>
  <c r="AF167" i="75"/>
  <c r="AF132" i="75"/>
  <c r="AF166" i="75"/>
  <c r="AF131" i="75"/>
  <c r="AF123" i="75"/>
  <c r="AF76" i="75"/>
  <c r="AF75" i="75"/>
  <c r="AF74" i="75"/>
  <c r="AF73" i="75"/>
  <c r="AF113" i="75"/>
  <c r="AF80" i="75"/>
  <c r="AF115" i="75"/>
  <c r="AF79" i="75"/>
  <c r="AF114" i="75"/>
  <c r="AF176" i="75"/>
  <c r="Z66" i="75" l="1"/>
  <c r="AF61" i="75"/>
  <c r="AF192" i="75"/>
  <c r="AF102" i="75"/>
  <c r="AF182" i="75" s="1"/>
  <c r="AF101" i="75"/>
  <c r="AF173" i="75" s="1"/>
  <c r="AF13" i="75"/>
  <c r="AF191" i="75"/>
  <c r="AF194" i="75"/>
  <c r="AF196" i="75" s="1"/>
  <c r="AI2" i="75" s="1"/>
  <c r="AI3" i="75" s="1"/>
  <c r="AF189" i="75"/>
  <c r="Z327" i="75"/>
  <c r="Z85" i="75"/>
  <c r="Z282" i="75"/>
  <c r="Z232" i="75"/>
  <c r="Z33" i="75"/>
  <c r="AF95" i="75"/>
  <c r="AF96" i="75"/>
  <c r="AF92" i="75"/>
  <c r="AF89" i="75"/>
  <c r="AI23" i="75" s="1"/>
  <c r="Z93" i="75"/>
  <c r="AF91" i="75"/>
  <c r="Z56" i="75"/>
  <c r="Z141" i="75"/>
  <c r="Z224" i="75"/>
  <c r="AF90" i="75"/>
  <c r="AF38" i="75"/>
  <c r="AF122" i="75"/>
  <c r="AF157" i="75"/>
  <c r="AF84" i="75" a="1"/>
  <c r="AF121" i="75"/>
  <c r="AF156" i="75"/>
  <c r="AF83" i="75" a="1"/>
  <c r="AF82" i="75" a="1"/>
  <c r="AF120" i="75"/>
  <c r="AF155" i="75"/>
  <c r="AF154" i="75"/>
  <c r="AF81" i="75" a="1"/>
  <c r="AF119" i="75"/>
  <c r="AF87" i="75" a="1"/>
  <c r="AF126" i="75"/>
  <c r="AF125" i="75"/>
  <c r="AF88" i="75" a="1"/>
  <c r="AF160" i="75"/>
  <c r="AF161" i="75"/>
  <c r="AF29" i="75" l="1"/>
  <c r="AF10" i="75" s="1"/>
  <c r="AF11" i="75" s="1"/>
  <c r="AF12" i="75" s="1"/>
  <c r="AF83" i="75"/>
  <c r="AF99" i="75" s="1"/>
  <c r="AF84" i="75"/>
  <c r="AF100" i="75" s="1"/>
  <c r="AI6" i="75"/>
  <c r="AF82" i="75"/>
  <c r="AF98" i="75" s="1"/>
  <c r="AF81" i="75"/>
  <c r="AF97" i="75" s="1"/>
  <c r="AF181" i="75"/>
  <c r="AF174" i="75"/>
  <c r="AF87" i="75"/>
  <c r="AF103" i="75" s="1"/>
  <c r="AF88" i="75"/>
  <c r="AF104" i="75" s="1"/>
  <c r="AF195" i="75"/>
  <c r="AI4" i="75"/>
  <c r="AJ2" i="75"/>
  <c r="AF135" i="75"/>
  <c r="AF138" i="75" s="1"/>
  <c r="AF153" i="75"/>
  <c r="AF152" i="75"/>
  <c r="AF165" i="75"/>
  <c r="AF130" i="75"/>
  <c r="AF129" i="75"/>
  <c r="AF164" i="75"/>
  <c r="AF128" i="75"/>
  <c r="AF163" i="75"/>
  <c r="AF162" i="75"/>
  <c r="AF127" i="75"/>
  <c r="AF30" i="75" l="1"/>
  <c r="AF5" i="75" s="1"/>
  <c r="AF6" i="75" s="1"/>
  <c r="Z13" i="75" s="1"/>
  <c r="Z14" i="75" s="1"/>
  <c r="Z261" i="75" s="1"/>
  <c r="AA248" i="75" s="1"/>
  <c r="AI9" i="75"/>
  <c r="AI11" i="75"/>
  <c r="AJ11" i="75" s="1"/>
  <c r="AI12" i="75"/>
  <c r="AJ12" i="75" s="1"/>
  <c r="AI8" i="75"/>
  <c r="AJ8" i="75" s="1"/>
  <c r="AI10" i="75"/>
  <c r="AJ10" i="75" s="1"/>
  <c r="AI14" i="75"/>
  <c r="AJ14" i="75" s="1"/>
  <c r="AF197" i="75"/>
  <c r="AF179" i="75"/>
  <c r="AF180" i="75"/>
  <c r="AF178" i="75"/>
  <c r="AF177" i="75"/>
  <c r="AF172" i="75"/>
  <c r="Z333" i="75"/>
  <c r="AF170" i="75"/>
  <c r="Z328" i="75"/>
  <c r="Z334" i="75"/>
  <c r="AJ3" i="75"/>
  <c r="AI5" i="75"/>
  <c r="AF171" i="75"/>
  <c r="AF134" i="75"/>
  <c r="AF133" i="75"/>
  <c r="AF168" i="75"/>
  <c r="AF169" i="75"/>
  <c r="AJ9" i="75" l="1"/>
  <c r="Z297" i="75"/>
  <c r="AA13" i="75"/>
  <c r="Z138" i="75"/>
  <c r="AA138" i="75" s="1"/>
  <c r="Z179" i="75"/>
  <c r="AA179" i="75" s="1"/>
  <c r="Z200" i="75"/>
  <c r="AA200" i="75" s="1"/>
  <c r="AF4" i="75"/>
  <c r="AF7" i="75" s="1"/>
  <c r="Z9" i="75" s="1"/>
  <c r="Z120" i="75" s="1"/>
  <c r="AA120" i="75" s="1"/>
  <c r="Z130" i="75"/>
  <c r="Z214" i="75"/>
  <c r="AA214" i="75" s="1"/>
  <c r="Z335" i="75"/>
  <c r="AF175" i="75"/>
  <c r="AF183" i="75"/>
  <c r="Z329" i="75"/>
  <c r="AF145" i="75" s="1"/>
  <c r="AF146" i="75" s="1"/>
  <c r="AA261" i="75"/>
  <c r="AA236" i="75"/>
  <c r="Z323" i="75"/>
  <c r="AA323" i="75" s="1"/>
  <c r="AI18" i="75"/>
  <c r="AJ18" i="75" s="1"/>
  <c r="Z321" i="75"/>
  <c r="AA321" i="75" s="1"/>
  <c r="Z236" i="75"/>
  <c r="Z229" i="75"/>
  <c r="AA229" i="75" s="1"/>
  <c r="Z248" i="75"/>
  <c r="AI13" i="75"/>
  <c r="AJ13" i="75" s="1"/>
  <c r="Z322" i="75"/>
  <c r="AA322" i="75" s="1"/>
  <c r="Z275" i="75"/>
  <c r="AA275" i="75" s="1"/>
  <c r="AA14" i="75"/>
  <c r="Z324" i="75"/>
  <c r="AA324" i="75" s="1"/>
  <c r="AF136" i="75"/>
  <c r="AI24" i="75" s="1"/>
  <c r="AF144" i="75"/>
  <c r="AF147" i="75" s="1"/>
  <c r="AI25" i="75" l="1"/>
  <c r="Z103" i="75"/>
  <c r="AA103" i="75" s="1"/>
  <c r="Z81" i="75"/>
  <c r="AA81" i="75" s="1"/>
  <c r="Z112" i="75"/>
  <c r="Z220" i="75"/>
  <c r="AA220" i="75" s="1"/>
  <c r="Z10" i="75"/>
  <c r="Z57" i="75" s="1"/>
  <c r="AA57" i="75" s="1"/>
  <c r="Z326" i="75"/>
  <c r="AA326" i="75" s="1"/>
  <c r="Z320" i="75"/>
  <c r="AA320" i="75" s="1"/>
  <c r="Z319" i="75"/>
  <c r="AA319" i="75" s="1"/>
  <c r="Z166" i="75"/>
  <c r="Z150" i="75"/>
  <c r="AA173" i="75" s="1"/>
  <c r="Z192" i="75"/>
  <c r="AA192" i="75" s="1"/>
  <c r="Z140" i="75"/>
  <c r="AA140" i="75" s="1"/>
  <c r="Z206" i="75"/>
  <c r="AA206" i="75" s="1"/>
  <c r="Z11" i="75"/>
  <c r="AA9" i="75"/>
  <c r="Z173" i="75"/>
  <c r="Z94" i="75"/>
  <c r="AA94" i="75" s="1"/>
  <c r="Z67" i="75"/>
  <c r="AA67" i="75" s="1"/>
  <c r="Z325" i="75"/>
  <c r="AA325" i="75" s="1"/>
  <c r="AF8" i="75"/>
  <c r="Z21" i="75" s="1"/>
  <c r="AF148" i="75"/>
  <c r="AF149" i="75" s="1"/>
  <c r="Z331" i="75" s="1"/>
  <c r="Z332" i="75" s="1"/>
  <c r="AA332" i="75" s="1"/>
  <c r="Z288" i="75"/>
  <c r="AA288" i="75" s="1"/>
  <c r="Z86" i="75"/>
  <c r="AA86" i="75" s="1"/>
  <c r="Z355" i="75"/>
  <c r="AA355" i="75" s="1"/>
  <c r="AF137" i="75"/>
  <c r="AF139" i="75" s="1"/>
  <c r="AF140" i="75" s="1"/>
  <c r="Z131" i="75" s="1"/>
  <c r="Z289" i="75" l="1"/>
  <c r="AA289" i="75" s="1"/>
  <c r="AA112" i="75"/>
  <c r="Z34" i="75"/>
  <c r="AA34" i="75" s="1"/>
  <c r="Z44" i="75"/>
  <c r="AA44" i="75" s="1"/>
  <c r="Z254" i="75"/>
  <c r="Z231" i="75"/>
  <c r="AA231" i="75" s="1"/>
  <c r="Z242" i="75"/>
  <c r="AA254" i="75" s="1"/>
  <c r="Z267" i="75"/>
  <c r="AA267" i="75" s="1"/>
  <c r="Z12" i="75"/>
  <c r="Z49" i="75"/>
  <c r="AA49" i="75" s="1"/>
  <c r="Z278" i="75"/>
  <c r="AA278" i="75" s="1"/>
  <c r="AA10" i="75"/>
  <c r="Z17" i="75"/>
  <c r="Z18" i="75" s="1"/>
  <c r="Z22" i="75" s="1"/>
  <c r="AA22" i="75" s="1"/>
  <c r="Z20" i="75"/>
  <c r="AA20" i="75" s="1"/>
  <c r="AA166" i="75"/>
  <c r="AA150" i="75"/>
  <c r="Z24" i="75"/>
  <c r="AA24" i="75" s="1"/>
  <c r="Z354" i="75" s="1"/>
  <c r="AA354" i="75" s="1"/>
  <c r="Z23" i="75"/>
  <c r="AA21" i="75"/>
  <c r="AF141" i="75"/>
  <c r="Z330" i="75"/>
  <c r="AA330" i="75" s="1"/>
  <c r="AA242" i="75" l="1"/>
  <c r="AA17" i="75"/>
  <c r="AA18" i="75"/>
  <c r="AA19" i="75"/>
  <c r="Z19" i="75"/>
  <c r="AA23" i="75"/>
  <c r="AF143" i="75"/>
  <c r="AF142" i="75"/>
  <c r="Z350" i="75" l="1"/>
  <c r="Z349" i="75"/>
  <c r="Z342" i="75"/>
  <c r="Z341" i="75"/>
  <c r="Z352" i="75"/>
  <c r="Z348" i="75"/>
  <c r="Z346" i="75"/>
  <c r="Z345" i="75"/>
  <c r="Z351" i="75"/>
  <c r="Z347" i="75"/>
  <c r="Z357" i="75"/>
  <c r="Z338" i="75"/>
  <c r="Z344" i="75"/>
  <c r="Z343" i="75"/>
  <c r="Z339" i="75"/>
  <c r="Z337" i="75"/>
  <c r="Z340" i="75"/>
  <c r="Z356" i="75"/>
  <c r="Z358" i="75" l="1"/>
  <c r="AA356" i="75"/>
  <c r="Z359" i="75"/>
  <c r="AA357" i="75"/>
  <c r="AI16" i="75"/>
  <c r="AI20" i="75" s="1"/>
  <c r="AJ20" i="75" s="1"/>
  <c r="AF41" i="75"/>
  <c r="AF42" i="75" s="1"/>
  <c r="AF49" i="75" s="1"/>
  <c r="AF51" i="75" s="1"/>
  <c r="AF39" i="75"/>
  <c r="AF40" i="75" s="1"/>
  <c r="Z152" i="75"/>
  <c r="Z178" i="75"/>
  <c r="Z154" i="75"/>
  <c r="Z73" i="75"/>
  <c r="Z105" i="75"/>
  <c r="Z114" i="75"/>
  <c r="AF46" i="75" l="1"/>
  <c r="AF58" i="75"/>
  <c r="AF52" i="75"/>
  <c r="AF56" i="75" s="1"/>
  <c r="AF53" i="75"/>
  <c r="AF54" i="75" s="1"/>
  <c r="AF48" i="75"/>
  <c r="AF47" i="75"/>
  <c r="AF45" i="75" l="1"/>
  <c r="Z26" i="75" s="1"/>
  <c r="AA26" i="75" s="1"/>
  <c r="AI17" i="75"/>
  <c r="AJ17" i="75" s="1"/>
  <c r="AI15" i="75"/>
  <c r="AI19" i="75"/>
  <c r="AJ19" i="75" s="1"/>
  <c r="AF44" i="75"/>
  <c r="AF55" i="75"/>
  <c r="AF57" i="75" l="1"/>
  <c r="Z25" i="75" s="1"/>
  <c r="AA25" i="7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<sst xmlns="http://schemas.openxmlformats.org/spreadsheetml/2006/main" count="1344" uniqueCount="650">
  <si>
    <t>l</t>
    <phoneticPr fontId="1"/>
  </si>
  <si>
    <t>σ</t>
    <phoneticPr fontId="1"/>
  </si>
  <si>
    <t>ρ</t>
    <phoneticPr fontId="1"/>
  </si>
  <si>
    <t>受板の半径</t>
    <rPh sb="0" eb="1">
      <t>ウケ</t>
    </rPh>
    <rPh sb="1" eb="2">
      <t>イタ</t>
    </rPh>
    <rPh sb="3" eb="4">
      <t>ハン</t>
    </rPh>
    <rPh sb="4" eb="5">
      <t>ケイ</t>
    </rPh>
    <phoneticPr fontId="1"/>
  </si>
  <si>
    <t>中心湾曲</t>
    <rPh sb="0" eb="2">
      <t>チュウシン</t>
    </rPh>
    <rPh sb="2" eb="4">
      <t>ワン</t>
    </rPh>
    <phoneticPr fontId="1"/>
  </si>
  <si>
    <t>トップ振分長</t>
    <rPh sb="3" eb="5">
      <t>フリワ</t>
    </rPh>
    <rPh sb="5" eb="6">
      <t>チョウ</t>
    </rPh>
    <phoneticPr fontId="1"/>
  </si>
  <si>
    <t>外面C側湾曲</t>
    <rPh sb="0" eb="2">
      <t>ガイメン</t>
    </rPh>
    <rPh sb="3" eb="4">
      <t>ガワ</t>
    </rPh>
    <rPh sb="4" eb="6">
      <t>ワンキョク</t>
    </rPh>
    <phoneticPr fontId="1"/>
  </si>
  <si>
    <t>Δ</t>
    <phoneticPr fontId="1"/>
  </si>
  <si>
    <t>BD外径</t>
    <rPh sb="2" eb="4">
      <t>ガイケイ</t>
    </rPh>
    <phoneticPr fontId="1"/>
  </si>
  <si>
    <t>bar l=l-σ/2</t>
    <phoneticPr fontId="1"/>
  </si>
  <si>
    <t>テーブル・受板中心間距離</t>
    <rPh sb="5" eb="6">
      <t>ウケ</t>
    </rPh>
    <rPh sb="6" eb="7">
      <t>イタ</t>
    </rPh>
    <rPh sb="7" eb="9">
      <t>チュウシン</t>
    </rPh>
    <rPh sb="9" eb="10">
      <t>カン</t>
    </rPh>
    <rPh sb="10" eb="12">
      <t>キョリ</t>
    </rPh>
    <phoneticPr fontId="1"/>
  </si>
  <si>
    <t>湾曲中心トップ端</t>
    <rPh sb="0" eb="2">
      <t>ワンキョク</t>
    </rPh>
    <rPh sb="2" eb="4">
      <t>チュウシン</t>
    </rPh>
    <rPh sb="7" eb="8">
      <t>ハシ</t>
    </rPh>
    <phoneticPr fontId="1"/>
  </si>
  <si>
    <t>外面A側湾曲</t>
    <rPh sb="0" eb="2">
      <t>ガイメン</t>
    </rPh>
    <rPh sb="3" eb="4">
      <t>ガワ</t>
    </rPh>
    <rPh sb="4" eb="6">
      <t>ワンキョク</t>
    </rPh>
    <phoneticPr fontId="1"/>
  </si>
  <si>
    <t>湾曲・受板中心間</t>
    <rPh sb="0" eb="2">
      <t>ワンキョク</t>
    </rPh>
    <rPh sb="3" eb="4">
      <t>ウケ</t>
    </rPh>
    <rPh sb="4" eb="5">
      <t>イタ</t>
    </rPh>
    <rPh sb="5" eb="7">
      <t>チュウシン</t>
    </rPh>
    <rPh sb="7" eb="8">
      <t>カン</t>
    </rPh>
    <phoneticPr fontId="1"/>
  </si>
  <si>
    <t>湾曲中心ボトム端</t>
    <rPh sb="0" eb="2">
      <t>ワンキョク</t>
    </rPh>
    <rPh sb="2" eb="4">
      <t>チュウシン</t>
    </rPh>
    <rPh sb="7" eb="8">
      <t>ハシ</t>
    </rPh>
    <phoneticPr fontId="1"/>
  </si>
  <si>
    <t>内面めっき膜厚</t>
    <rPh sb="0" eb="2">
      <t>ナイメン</t>
    </rPh>
    <rPh sb="5" eb="6">
      <t>マク</t>
    </rPh>
    <rPh sb="6" eb="7">
      <t>アツ</t>
    </rPh>
    <phoneticPr fontId="1"/>
  </si>
  <si>
    <t>テーブル回転中心X</t>
    <rPh sb="4" eb="8">
      <t>カイテン</t>
    </rPh>
    <phoneticPr fontId="1"/>
  </si>
  <si>
    <t>テーブル回転中心Z</t>
    <rPh sb="4" eb="8">
      <t>カイテン</t>
    </rPh>
    <phoneticPr fontId="1"/>
  </si>
  <si>
    <t>モールド移動距離水平</t>
    <rPh sb="4" eb="8">
      <t>イドウ</t>
    </rPh>
    <rPh sb="8" eb="10">
      <t>スイヘイ</t>
    </rPh>
    <phoneticPr fontId="1"/>
  </si>
  <si>
    <t>モールド移動距離鉛直</t>
    <rPh sb="4" eb="8">
      <t>イドウ</t>
    </rPh>
    <rPh sb="8" eb="10">
      <t>エンチョク</t>
    </rPh>
    <phoneticPr fontId="1"/>
  </si>
  <si>
    <t>均等振分スペーサ</t>
    <rPh sb="0" eb="2">
      <t>キントウ</t>
    </rPh>
    <rPh sb="2" eb="4">
      <t>フリワケ</t>
    </rPh>
    <phoneticPr fontId="1"/>
  </si>
  <si>
    <t>両受板中心間（後）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rPh sb="7" eb="8">
      <t>アト</t>
    </rPh>
    <phoneticPr fontId="1"/>
  </si>
  <si>
    <t>cos</t>
    <phoneticPr fontId="1"/>
  </si>
  <si>
    <t>sin</t>
    <phoneticPr fontId="1"/>
  </si>
  <si>
    <t>トップ端湾曲中心水平距離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</si>
  <si>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</si>
  <si>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</si>
  <si>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ボトム端湾曲中心水平距離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</si>
  <si>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</si>
  <si>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</si>
  <si>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溝位置</t>
    <rPh sb="0" eb="1">
      <t>ミゾ</t>
    </rPh>
    <rPh sb="1" eb="3">
      <t>イチ</t>
    </rPh>
    <phoneticPr fontId="1"/>
  </si>
  <si>
    <t>溝幅</t>
    <rPh sb="0" eb="1">
      <t>ミゾ</t>
    </rPh>
    <rPh sb="1" eb="2">
      <t>ハバ</t>
    </rPh>
    <phoneticPr fontId="1"/>
  </si>
  <si>
    <t>溝AC径</t>
    <rPh sb="0" eb="1">
      <t>ミゾ</t>
    </rPh>
    <rPh sb="3" eb="4">
      <t>ケイ</t>
    </rPh>
    <phoneticPr fontId="1"/>
  </si>
  <si>
    <t>δ/2+I6-I22</t>
    <phoneticPr fontId="1"/>
  </si>
  <si>
    <t>振分中心-溝中央間距離</t>
    <rPh sb="0" eb="2">
      <t>フリワケ</t>
    </rPh>
    <rPh sb="2" eb="4">
      <t>チュウシン</t>
    </rPh>
    <rPh sb="5" eb="6">
      <t>ミゾ</t>
    </rPh>
    <rPh sb="6" eb="8">
      <t>チュウオウ</t>
    </rPh>
    <rPh sb="8" eb="9">
      <t>カン</t>
    </rPh>
    <rPh sb="9" eb="11">
      <t>キョリ</t>
    </rPh>
    <phoneticPr fontId="1"/>
  </si>
  <si>
    <t>湾曲中心-溝中心間距離X</t>
    <rPh sb="0" eb="2">
      <t>ワンキョク</t>
    </rPh>
    <rPh sb="2" eb="4">
      <t>チュウシン</t>
    </rPh>
    <rPh sb="5" eb="6">
      <t>ミゾ</t>
    </rPh>
    <rPh sb="6" eb="8">
      <t>チュウシン</t>
    </rPh>
    <rPh sb="8" eb="9">
      <t>アイダ</t>
    </rPh>
    <rPh sb="9" eb="11">
      <t>キョリ</t>
    </rPh>
    <phoneticPr fontId="1"/>
  </si>
  <si>
    <t>溝中心AC（A側溝深さ基準）</t>
    <rPh sb="0" eb="1">
      <t>ミゾ</t>
    </rPh>
    <rPh sb="1" eb="3">
      <t>チュウシン</t>
    </rPh>
    <rPh sb="7" eb="8">
      <t>ガワ</t>
    </rPh>
    <rPh sb="8" eb="9">
      <t>ミゾ</t>
    </rPh>
    <rPh sb="9" eb="10">
      <t>フカ</t>
    </rPh>
    <rPh sb="11" eb="13">
      <t>キジュン</t>
    </rPh>
    <phoneticPr fontId="1"/>
  </si>
  <si>
    <t>溝中心AC（ボトム外削基準）</t>
    <rPh sb="0" eb="1">
      <t>ミゾ</t>
    </rPh>
    <rPh sb="1" eb="3">
      <t>チュウシン</t>
    </rPh>
    <rPh sb="9" eb="11">
      <t>ガイサク</t>
    </rPh>
    <rPh sb="11" eb="13">
      <t>キジュン</t>
    </rPh>
    <phoneticPr fontId="1"/>
  </si>
  <si>
    <t>溝中心tb</t>
    <rPh sb="0" eb="1">
      <t>ミゾ</t>
    </rPh>
    <rPh sb="1" eb="3">
      <t>チュウシン</t>
    </rPh>
    <phoneticPr fontId="1"/>
  </si>
  <si>
    <t>溝-トップ端 湾曲中心間距離水平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スイヘイ</t>
    </rPh>
    <phoneticPr fontId="1"/>
  </si>
  <si>
    <t>溝-トップ端 湾曲中心間距離鉛直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エ</t>
    </rPh>
    <phoneticPr fontId="1"/>
  </si>
  <si>
    <t>テーブル回転中心B</t>
    <rPh sb="4" eb="6">
      <t>カイテン</t>
    </rPh>
    <rPh sb="6" eb="8">
      <t>チュウシン</t>
    </rPh>
    <phoneticPr fontId="1"/>
  </si>
  <si>
    <t>溝中心AC（湾曲中心基準）</t>
    <rPh sb="0" eb="1">
      <t>ミゾ</t>
    </rPh>
    <rPh sb="1" eb="3">
      <t>チュウシン</t>
    </rPh>
    <rPh sb="6" eb="8">
      <t>ワンキョク</t>
    </rPh>
    <rPh sb="8" eb="10">
      <t>チュウシン</t>
    </rPh>
    <rPh sb="10" eb="12">
      <t>キジュン</t>
    </rPh>
    <phoneticPr fontId="1"/>
  </si>
  <si>
    <t>再振分長トップ</t>
    <rPh sb="0" eb="1">
      <t>サイ</t>
    </rPh>
    <rPh sb="1" eb="3">
      <t>フリワケ</t>
    </rPh>
    <rPh sb="3" eb="4">
      <t>チョウ</t>
    </rPh>
    <phoneticPr fontId="1"/>
  </si>
  <si>
    <t>再振分長ボトム</t>
    <rPh sb="0" eb="1">
      <t>サイ</t>
    </rPh>
    <rPh sb="1" eb="3">
      <t>フリワケ</t>
    </rPh>
    <rPh sb="3" eb="4">
      <t>チョウ</t>
    </rPh>
    <phoneticPr fontId="1"/>
  </si>
  <si>
    <t>再張出長トップ</t>
    <rPh sb="0" eb="1">
      <t>サイ</t>
    </rPh>
    <rPh sb="1" eb="3">
      <t>ハリダシ</t>
    </rPh>
    <rPh sb="3" eb="4">
      <t>チョウ</t>
    </rPh>
    <phoneticPr fontId="1"/>
  </si>
  <si>
    <t>再張出長ボトム</t>
    <rPh sb="0" eb="1">
      <t>サイ</t>
    </rPh>
    <rPh sb="1" eb="3">
      <t>ハリダシ</t>
    </rPh>
    <rPh sb="3" eb="4">
      <t>チョウ</t>
    </rPh>
    <phoneticPr fontId="1"/>
  </si>
  <si>
    <t>外面中心トップ端</t>
    <rPh sb="0" eb="2">
      <t>ガイメン</t>
    </rPh>
    <rPh sb="2" eb="4">
      <t>チュウシン</t>
    </rPh>
    <rPh sb="7" eb="8">
      <t>タン</t>
    </rPh>
    <phoneticPr fontId="1"/>
  </si>
  <si>
    <t>外面中心ボトム端</t>
    <rPh sb="0" eb="2">
      <t>ガイメン</t>
    </rPh>
    <rPh sb="2" eb="4">
      <t>チュウシン</t>
    </rPh>
    <rPh sb="7" eb="8">
      <t>タン</t>
    </rPh>
    <phoneticPr fontId="1"/>
  </si>
  <si>
    <t>2bar l/I8</t>
    <phoneticPr fontId="1"/>
  </si>
  <si>
    <t>δ/I8</t>
    <phoneticPr fontId="1"/>
  </si>
  <si>
    <t>外削中心トップ（ボトム基準）</t>
    <rPh sb="0" eb="2">
      <t>ガイサク</t>
    </rPh>
    <rPh sb="2" eb="4">
      <t>チュウシン</t>
    </rPh>
    <rPh sb="11" eb="13">
      <t>キジュン</t>
    </rPh>
    <phoneticPr fontId="1"/>
  </si>
  <si>
    <t>外削中心トップ（トップ基準）</t>
    <rPh sb="0" eb="2">
      <t>ガイサク</t>
    </rPh>
    <rPh sb="2" eb="4">
      <t>チュウシン</t>
    </rPh>
    <rPh sb="11" eb="13">
      <t>キジュン</t>
    </rPh>
    <phoneticPr fontId="1"/>
  </si>
  <si>
    <t>傾き後湾曲中心トップ端X</t>
    <rPh sb="0" eb="1">
      <t>カタム</t>
    </rPh>
    <rPh sb="2" eb="3">
      <t>ゴ</t>
    </rPh>
    <rPh sb="3" eb="7">
      <t>ワン</t>
    </rPh>
    <rPh sb="10" eb="11">
      <t>タン</t>
    </rPh>
    <phoneticPr fontId="1"/>
  </si>
  <si>
    <t>傾き後湾曲中心トップ端Z</t>
    <rPh sb="0" eb="1">
      <t>カタム</t>
    </rPh>
    <rPh sb="2" eb="3">
      <t>ゴ</t>
    </rPh>
    <rPh sb="3" eb="7">
      <t>ワン</t>
    </rPh>
    <rPh sb="10" eb="11">
      <t>タン</t>
    </rPh>
    <phoneticPr fontId="1"/>
  </si>
  <si>
    <t>外削中心ボトム（概算）</t>
    <rPh sb="0" eb="2">
      <t>ガイサク</t>
    </rPh>
    <rPh sb="2" eb="4">
      <t>チュウシン</t>
    </rPh>
    <rPh sb="8" eb="10">
      <t>ガイサン</t>
    </rPh>
    <phoneticPr fontId="1"/>
  </si>
  <si>
    <t>中心Y</t>
    <rPh sb="0" eb="2">
      <t>チ</t>
    </rPh>
    <phoneticPr fontId="1"/>
  </si>
  <si>
    <t>AC外径</t>
    <rPh sb="2" eb="4">
      <t>ガイケイ</t>
    </rPh>
    <phoneticPr fontId="1"/>
  </si>
  <si>
    <t>I21*I9</t>
    <phoneticPr fontId="1"/>
  </si>
  <si>
    <t>I21*I10</t>
    <phoneticPr fontId="1"/>
  </si>
  <si>
    <t>両受板中心間（δ=0）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phoneticPr fontId="1"/>
  </si>
  <si>
    <t>Δ'</t>
    <phoneticPr fontId="1"/>
  </si>
  <si>
    <t>振分用回転角(rad)</t>
    <rPh sb="0" eb="3">
      <t>フリ</t>
    </rPh>
    <rPh sb="3" eb="5">
      <t>カイテン</t>
    </rPh>
    <rPh sb="5" eb="6">
      <t>カク</t>
    </rPh>
    <phoneticPr fontId="1"/>
  </si>
  <si>
    <t>均等振分角度(rad)</t>
    <rPh sb="0" eb="2">
      <t>キントウ</t>
    </rPh>
    <rPh sb="2" eb="4">
      <t>フリワケ</t>
    </rPh>
    <rPh sb="4" eb="6">
      <t>カクド</t>
    </rPh>
    <phoneticPr fontId="1"/>
  </si>
  <si>
    <t>sinθ'</t>
    <phoneticPr fontId="1"/>
  </si>
  <si>
    <t>トップ端-溝中央 間距離</t>
    <rPh sb="3" eb="4">
      <t>タン</t>
    </rPh>
    <rPh sb="5" eb="6">
      <t>ミゾ</t>
    </rPh>
    <rPh sb="6" eb="8">
      <t>チュウオウ</t>
    </rPh>
    <rPh sb="9" eb="10">
      <t>カン</t>
    </rPh>
    <rPh sb="10" eb="12">
      <t>ky</t>
    </rPh>
    <phoneticPr fontId="1"/>
  </si>
  <si>
    <t>ボトム外径中心-O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</si>
  <si>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トップ外径中心-O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</si>
  <si>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溝中央A側</t>
    <rPh sb="0" eb="1">
      <t>ミゾ</t>
    </rPh>
    <rPh sb="1" eb="3">
      <t>チュウオウ</t>
    </rPh>
    <phoneticPr fontId="1"/>
  </si>
  <si>
    <t>溝中央C側</t>
    <rPh sb="0" eb="1">
      <t>ミゾ</t>
    </rPh>
    <rPh sb="1" eb="3">
      <t>チュウオウ</t>
    </rPh>
    <phoneticPr fontId="1"/>
  </si>
  <si>
    <t>湾曲・テーブル両中心間距離</t>
    <rPh sb="0" eb="2">
      <t>ワンキョク</t>
    </rPh>
    <rPh sb="7" eb="8">
      <t>リョウ</t>
    </rPh>
    <rPh sb="8" eb="10">
      <t>チュウシン</t>
    </rPh>
    <rPh sb="10" eb="11">
      <t>カン</t>
    </rPh>
    <rPh sb="11" eb="13">
      <t>キョリ</t>
    </rPh>
    <phoneticPr fontId="1"/>
  </si>
  <si>
    <t>機械座標</t>
    <rPh sb="0" eb="2">
      <t>キカイ</t>
    </rPh>
    <rPh sb="2" eb="4">
      <t>ザヒョウ</t>
    </rPh>
    <phoneticPr fontId="1"/>
  </si>
  <si>
    <t>溝</t>
    <rPh sb="0" eb="1">
      <t>ミゾ</t>
    </rPh>
    <phoneticPr fontId="1"/>
  </si>
  <si>
    <t>両外削</t>
    <rPh sb="0" eb="1">
      <t>リョウ</t>
    </rPh>
    <rPh sb="1" eb="2">
      <t>ガイ</t>
    </rPh>
    <rPh sb="2" eb="3">
      <t>サク</t>
    </rPh>
    <phoneticPr fontId="1"/>
  </si>
  <si>
    <t>-</t>
    <phoneticPr fontId="1"/>
  </si>
  <si>
    <t>Z</t>
    <phoneticPr fontId="1"/>
  </si>
  <si>
    <t>B</t>
    <phoneticPr fontId="1"/>
  </si>
  <si>
    <t>Y</t>
    <phoneticPr fontId="1"/>
  </si>
  <si>
    <t>X</t>
    <phoneticPr fontId="1"/>
  </si>
  <si>
    <t>ジグ・テーブル寸法, その他</t>
    <rPh sb="7" eb="9">
      <t>スンポウ</t>
    </rPh>
    <rPh sb="13" eb="14">
      <t>タ</t>
    </rPh>
    <phoneticPr fontId="1"/>
  </si>
  <si>
    <t>トップ 内面取 角度(deg)</t>
    <rPh sb="4" eb="5">
      <t>ウチ</t>
    </rPh>
    <rPh sb="5" eb="7">
      <t>メントリ</t>
    </rPh>
    <rPh sb="8" eb="10">
      <t>カクド</t>
    </rPh>
    <phoneticPr fontId="1"/>
  </si>
  <si>
    <t>トップ端 AC内径</t>
    <rPh sb="3" eb="4">
      <t>タン</t>
    </rPh>
    <rPh sb="7" eb="9">
      <t>ナイケイ</t>
    </rPh>
    <phoneticPr fontId="1"/>
  </si>
  <si>
    <t>q</t>
    <phoneticPr fontId="1"/>
  </si>
  <si>
    <t>ボトム端 AC内径</t>
    <rPh sb="3" eb="4">
      <t>タン</t>
    </rPh>
    <rPh sb="7" eb="9">
      <t>ナイケイ</t>
    </rPh>
    <phoneticPr fontId="1"/>
  </si>
  <si>
    <t>qのC側内面R</t>
    <rPh sb="3" eb="4">
      <t>ガワ</t>
    </rPh>
    <rPh sb="4" eb="6">
      <t>ナイメン</t>
    </rPh>
    <phoneticPr fontId="1"/>
  </si>
  <si>
    <t>m列目のC側内面R</t>
    <rPh sb="1" eb="2">
      <t>レツ</t>
    </rPh>
    <rPh sb="2" eb="3">
      <t>メ</t>
    </rPh>
    <rPh sb="5" eb="6">
      <t>ガワ</t>
    </rPh>
    <rPh sb="6" eb="8">
      <t>ナイメン</t>
    </rPh>
    <phoneticPr fontId="1"/>
  </si>
  <si>
    <t>m</t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</si>
  <si>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</si>
  <si>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q-λ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</si>
  <si>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</t>
    </r>
    <phoneticPr fontId="1"/>
  </si>
  <si>
    <r>
      <t>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</si>
  <si>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 xml:space="preserve"> (rad)</t>
    </r>
    <phoneticPr fontId="1"/>
  </si>
  <si>
    <t>湾曲・振分</t>
    <rPh sb="0" eb="2">
      <t>ワンキョク</t>
    </rPh>
    <rPh sb="3" eb="5">
      <t>フリワ</t>
    </rPh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</si>
  <si>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</si>
  <si>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</si>
  <si>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</si>
  <si>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-bar l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</si>
  <si>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'=R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-ρ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</si>
  <si>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</si>
  <si>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o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</si>
  <si>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=(f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)/2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</si>
  <si>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</si>
  <si>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</si>
  <si>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</si>
  <si>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</si>
  <si>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</si>
  <si>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</si>
  <si>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</si>
  <si>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</si>
  <si>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</si>
  <si>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</si>
  <si>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</si>
  <si>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</si>
  <si>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</si>
  <si>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</si>
  <si>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</si>
  <si>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</si>
  <si>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</si>
  <si>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</si>
  <si>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</si>
  <si>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</si>
  <si>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</si>
  <si>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m-1</t>
    </r>
    <phoneticPr fontId="1"/>
  </si>
  <si>
    <r>
      <t>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phoneticPr fontId="1"/>
  </si>
  <si>
    <r>
      <t>sqrt(δ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</si>
  <si>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l-f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</si>
  <si>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l+f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</si>
  <si>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*bar l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</si>
  <si>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-I7/4)</t>
    </r>
    <phoneticPr fontId="1"/>
  </si>
  <si>
    <t>A内面 トップ端-(m-1, 1)間 X距離</t>
    <rPh sb="1" eb="3">
      <t>ナイメン</t>
    </rPh>
    <rPh sb="7" eb="8">
      <t>タン</t>
    </rPh>
    <rPh sb="17" eb="18">
      <t>カン</t>
    </rPh>
    <rPh sb="20" eb="22">
      <t>キョリ</t>
    </rPh>
    <phoneticPr fontId="1"/>
  </si>
  <si>
    <t>A内面 トップ端-(m, 1)間 X距離</t>
    <rPh sb="1" eb="3">
      <t>ナイメン</t>
    </rPh>
    <rPh sb="7" eb="8">
      <t>タン</t>
    </rPh>
    <rPh sb="15" eb="16">
      <t>カン</t>
    </rPh>
    <rPh sb="18" eb="20">
      <t>キョリ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</si>
  <si>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</si>
  <si>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t>μ</t>
    <phoneticPr fontId="1"/>
  </si>
  <si>
    <t>内面テーパ#</t>
    <rPh sb="0" eb="2">
      <t>ナイメン</t>
    </rPh>
    <phoneticPr fontId="1"/>
  </si>
  <si>
    <t>トップ端のA側内面R（近似）</t>
    <rPh sb="3" eb="4">
      <t>タン</t>
    </rPh>
    <rPh sb="6" eb="7">
      <t>ガワ</t>
    </rPh>
    <rPh sb="7" eb="9">
      <t>ナイメン</t>
    </rPh>
    <rPh sb="11" eb="13">
      <t>キンジ</t>
    </rPh>
    <phoneticPr fontId="1"/>
  </si>
  <si>
    <t>qのA側内面R（近似）</t>
    <rPh sb="3" eb="4">
      <t>ガワ</t>
    </rPh>
    <rPh sb="4" eb="6">
      <t>ナイメン</t>
    </rPh>
    <rPh sb="8" eb="10">
      <t>キンジ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</si>
  <si>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</si>
  <si>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'</t>
    </r>
    <phoneticPr fontId="1"/>
  </si>
  <si>
    <t>均等振分角度(deg)</t>
    <rPh sb="0" eb="2">
      <t>キントウ</t>
    </rPh>
    <rPh sb="2" eb="4">
      <t>フリワケ</t>
    </rPh>
    <rPh sb="4" eb="6">
      <t>カクド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</si>
  <si>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</si>
  <si>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</si>
  <si>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</si>
  <si>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</si>
  <si>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</si>
  <si>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</si>
  <si>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</si>
  <si>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</si>
  <si>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</si>
  <si>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</si>
  <si>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</si>
  <si>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</si>
  <si>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</si>
  <si>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</si>
  <si>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</si>
  <si>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</si>
  <si>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</si>
  <si>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(q+4pz)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</si>
  <si>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(q+5pz)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</si>
  <si>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</si>
  <si>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</si>
  <si>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</si>
  <si>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o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</si>
  <si>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e</t>
    </r>
    <phoneticPr fontId="1"/>
  </si>
  <si>
    <r>
      <t>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</si>
  <si>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</si>
  <si>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</si>
  <si>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</si>
  <si>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</si>
  <si>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</si>
  <si>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</si>
  <si>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</si>
  <si>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</si>
  <si>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</si>
  <si>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</si>
  <si>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</si>
  <si>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</si>
  <si>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</si>
  <si>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</si>
  <si>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</si>
  <si>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</si>
  <si>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</si>
  <si>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</si>
  <si>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</si>
  <si>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t>m-2列目湾曲中心X</t>
    <phoneticPr fontId="1"/>
  </si>
  <si>
    <t>m-1列目湾曲中心X</t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</si>
  <si>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</si>
  <si>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</si>
  <si>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</si>
  <si>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</si>
  <si>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</si>
  <si>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</si>
  <si>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</si>
  <si>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</si>
  <si>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</si>
  <si>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</si>
  <si>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</si>
  <si>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</si>
  <si>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</si>
  <si>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</si>
  <si>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</si>
  <si>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</si>
  <si>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</si>
  <si>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</si>
  <si>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</si>
  <si>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</si>
  <si>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</si>
  <si>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2</t>
    </r>
    <r>
      <rPr>
        <sz val="10"/>
        <color theme="1"/>
        <rFont val="メイリオ"/>
        <family val="2"/>
        <charset val="128"/>
      </rPr>
      <t/>
    </r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</si>
  <si>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</si>
  <si>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</si>
  <si>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</si>
  <si>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</si>
  <si>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</si>
  <si>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</t>
    </r>
    <phoneticPr fontId="1"/>
  </si>
  <si>
    <t>トップ端 AC内径（水平・めっき含・概算）</t>
    <rPh sb="3" eb="4">
      <t>タン</t>
    </rPh>
    <rPh sb="7" eb="9">
      <t>ナイケイ</t>
    </rPh>
    <rPh sb="10" eb="12">
      <t>スイヘイ</t>
    </rPh>
    <rPh sb="16" eb="17">
      <t>フク</t>
    </rPh>
    <rPh sb="18" eb="20">
      <t>ガイサン</t>
    </rPh>
    <phoneticPr fontId="1"/>
  </si>
  <si>
    <t>m列目 AC内径（水平・めっき含・概算）</t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</si>
  <si>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</si>
  <si>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</si>
  <si>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</si>
  <si>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</si>
  <si>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</si>
  <si>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</si>
  <si>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-q-(m-1)pz}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</si>
  <si>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</si>
  <si>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/2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</si>
  <si>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/2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</si>
  <si>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</si>
  <si>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</si>
  <si>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</si>
  <si>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</si>
  <si>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</si>
  <si>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</si>
  <si>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</si>
  <si>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</si>
  <si>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</si>
  <si>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</si>
  <si>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</si>
  <si>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</si>
  <si>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</si>
  <si>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</si>
  <si>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</si>
  <si>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</si>
  <si>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</si>
  <si>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</si>
  <si>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</si>
  <si>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</si>
  <si>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</si>
  <si>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z2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</si>
  <si>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z1</t>
    </r>
    <phoneticPr fontId="1"/>
  </si>
  <si>
    <t>（傾き前）m-1列目Z座標</t>
    <phoneticPr fontId="1"/>
  </si>
  <si>
    <t>（傾き前）m列目Z座標</t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</si>
  <si>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zm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</si>
  <si>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</t>
    </r>
    <phoneticPr fontId="1"/>
  </si>
  <si>
    <t>m-1列目AC内径（水平・めっき含・概算）</t>
    <phoneticPr fontId="1"/>
  </si>
  <si>
    <t>m列目 BD内径（めっき含・概算）</t>
    <phoneticPr fontId="1"/>
  </si>
  <si>
    <t>トップ端 BD内径（めっき含・概算）</t>
    <rPh sb="3" eb="4">
      <t>タン</t>
    </rPh>
    <rPh sb="7" eb="9">
      <t>ナイケイ</t>
    </rPh>
    <rPh sb="13" eb="14">
      <t>ガン</t>
    </rPh>
    <rPh sb="15" eb="17">
      <t>ガイサン</t>
    </rPh>
    <phoneticPr fontId="1"/>
  </si>
  <si>
    <t>m-1列目 BD内径（めっき含・概算）</t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</si>
  <si>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</si>
  <si>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</si>
  <si>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</si>
  <si>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</si>
  <si>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</si>
  <si>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Bq+(m-1)pz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</si>
  <si>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</si>
  <si>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</si>
  <si>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</si>
  <si>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</si>
  <si>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</si>
  <si>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Aq+(m-1)pz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</si>
  <si>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</si>
  <si>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</si>
  <si>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</si>
  <si>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</si>
  <si>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</si>
  <si>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θ[rad]</t>
    <phoneticPr fontId="1"/>
  </si>
  <si>
    <t>θ'[rad]</t>
    <phoneticPr fontId="1"/>
  </si>
  <si>
    <t>θ'[deg]</t>
    <phoneticPr fontId="1"/>
  </si>
  <si>
    <t>再振分用角度(deg, 0.001度単位)</t>
    <rPh sb="0" eb="1">
      <t>サイ</t>
    </rPh>
    <rPh sb="1" eb="3">
      <t>フリワケ</t>
    </rPh>
    <rPh sb="3" eb="4">
      <t>ヨウ</t>
    </rPh>
    <rPh sb="4" eb="6">
      <t>カクド</t>
    </rPh>
    <rPh sb="5" eb="6">
      <t>フリカド</t>
    </rPh>
    <rPh sb="17" eb="18">
      <t>ド</t>
    </rPh>
    <rPh sb="18" eb="20">
      <t>タンイ</t>
    </rPh>
    <phoneticPr fontId="1"/>
  </si>
  <si>
    <t>均等振分 鉛直移動距離</t>
    <rPh sb="0" eb="2">
      <t>キントウ</t>
    </rPh>
    <rPh sb="2" eb="4">
      <t>フリワケ</t>
    </rPh>
    <rPh sb="5" eb="7">
      <t>エンチョク</t>
    </rPh>
    <rPh sb="7" eb="9">
      <t>イドウ</t>
    </rPh>
    <rPh sb="9" eb="11">
      <t>キョリ</t>
    </rPh>
    <phoneticPr fontId="1"/>
  </si>
  <si>
    <t>ボトム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</si>
  <si>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ボトム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</si>
  <si>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r>
      <t>cosΦ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</si>
  <si>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sinΦ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</si>
  <si>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</si>
  <si>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</si>
  <si>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</si>
  <si>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</si>
  <si>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tx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</si>
  <si>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G57X（傾け前）fromテーブル中心</t>
    <rPh sb="5" eb="6">
      <t>カタム</t>
    </rPh>
    <rPh sb="7" eb="8">
      <t>マエ</t>
    </rPh>
    <rPh sb="17" eb="19">
      <t>チュウシン</t>
    </rPh>
    <phoneticPr fontId="1"/>
  </si>
  <si>
    <t>G57Z（傾け前）fromテーブル中心</t>
    <rPh sb="5" eb="6">
      <t>カタム</t>
    </rPh>
    <rPh sb="7" eb="8">
      <t>マエ</t>
    </rPh>
    <rPh sb="17" eb="19">
      <t>チュウシン</t>
    </rPh>
    <phoneticPr fontId="1"/>
  </si>
  <si>
    <t>G57X（傾け後）fromテーブル中心</t>
    <rPh sb="5" eb="6">
      <t>カタム</t>
    </rPh>
    <rPh sb="7" eb="8">
      <t>ゴ</t>
    </rPh>
    <rPh sb="17" eb="19">
      <t>チュウシン</t>
    </rPh>
    <phoneticPr fontId="1"/>
  </si>
  <si>
    <t>G57Z（傾け後）fromテーブル中心</t>
    <rPh sb="5" eb="6">
      <t>カタム</t>
    </rPh>
    <rPh sb="7" eb="8">
      <t>ゴ</t>
    </rPh>
    <rPh sb="17" eb="19">
      <t>チュウシン</t>
    </rPh>
    <phoneticPr fontId="1"/>
  </si>
  <si>
    <t>1列目 BD内径（めっき含・概算）</t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</si>
  <si>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</si>
  <si>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溝ボトム側A面</t>
    <rPh sb="0" eb="1">
      <t>ミゾ</t>
    </rPh>
    <rPh sb="4" eb="5">
      <t>ガワ</t>
    </rPh>
    <rPh sb="6" eb="7">
      <t>メン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</si>
  <si>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</si>
  <si>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</si>
  <si>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溝位置+溝幅</t>
    <rPh sb="0" eb="1">
      <t>ミゾ</t>
    </rPh>
    <rPh sb="1" eb="3">
      <t>イチ</t>
    </rPh>
    <rPh sb="4" eb="6">
      <t>ミゾハバ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</si>
  <si>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</si>
  <si>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</si>
  <si>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t>振分中心-溝位置-溝幅</t>
    <rPh sb="0" eb="2">
      <t>フリワケ</t>
    </rPh>
    <rPh sb="2" eb="4">
      <t>チュウシン</t>
    </rPh>
    <rPh sb="5" eb="6">
      <t>ミゾ</t>
    </rPh>
    <rPh sb="6" eb="8">
      <t>イチ</t>
    </rPh>
    <rPh sb="9" eb="10">
      <t>ミゾ</t>
    </rPh>
    <rPh sb="10" eb="11">
      <t>ハバ</t>
    </rPh>
    <phoneticPr fontId="1"/>
  </si>
  <si>
    <t>振分中心-溝位置</t>
    <rPh sb="0" eb="2">
      <t>フリワケ</t>
    </rPh>
    <rPh sb="2" eb="4">
      <t>チュウシン</t>
    </rPh>
    <rPh sb="5" eb="6">
      <t>ミゾ</t>
    </rPh>
    <rPh sb="6" eb="8">
      <t>イチ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</si>
  <si>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</si>
  <si>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</si>
  <si>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tanζ</t>
    <phoneticPr fontId="1"/>
  </si>
  <si>
    <t>sinζ</t>
    <phoneticPr fontId="1"/>
  </si>
  <si>
    <t>溝深さ測定角tan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</si>
  <si>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溝深さ測定角sin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</si>
  <si>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cosζ</t>
    <phoneticPr fontId="1"/>
  </si>
  <si>
    <t>溝深さ測定角cos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</si>
  <si>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</si>
  <si>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(κ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sinζ)/2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</si>
  <si>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</si>
  <si>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'</t>
    </r>
    <phoneticPr fontId="1"/>
  </si>
  <si>
    <t>測定上の溝深さを正とした図面上の溝深さ</t>
    <rPh sb="0" eb="2">
      <t>ソクテイ</t>
    </rPh>
    <rPh sb="2" eb="3">
      <t>ジョウ</t>
    </rPh>
    <rPh sb="4" eb="5">
      <t>ミゾ</t>
    </rPh>
    <rPh sb="5" eb="6">
      <t>フカ</t>
    </rPh>
    <rPh sb="8" eb="9">
      <t>セイ</t>
    </rPh>
    <rPh sb="12" eb="15">
      <t>ズメンジョウ</t>
    </rPh>
    <rPh sb="16" eb="17">
      <t>ミゾ</t>
    </rPh>
    <rPh sb="17" eb="18">
      <t>フカ</t>
    </rPh>
    <phoneticPr fontId="1"/>
  </si>
  <si>
    <r>
      <t>2cosζ/(1+cos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ζ)</t>
    </r>
    <phoneticPr fontId="1"/>
  </si>
  <si>
    <t>溝トップ側A面</t>
    <rPh sb="0" eb="1">
      <t>ミゾ</t>
    </rPh>
    <rPh sb="4" eb="5">
      <t>ガワ</t>
    </rPh>
    <rPh sb="6" eb="7">
      <t>メン</t>
    </rPh>
    <phoneticPr fontId="1"/>
  </si>
  <si>
    <t>溝中央A面とトップ側A面の差</t>
    <rPh sb="0" eb="1">
      <t>ミゾ</t>
    </rPh>
    <rPh sb="1" eb="3">
      <t>チュウオウ</t>
    </rPh>
    <rPh sb="4" eb="5">
      <t>メン</t>
    </rPh>
    <rPh sb="9" eb="10">
      <t>ガワ</t>
    </rPh>
    <rPh sb="11" eb="12">
      <t>メン</t>
    </rPh>
    <rPh sb="13" eb="14">
      <t>サ</t>
    </rPh>
    <phoneticPr fontId="1"/>
  </si>
  <si>
    <t>ジグ内幅(ボルト締口までG53B0Y方向)</t>
    <rPh sb="2" eb="3">
      <t>ウチ</t>
    </rPh>
    <rPh sb="3" eb="4">
      <t>ハバ</t>
    </rPh>
    <rPh sb="11" eb="13">
      <t>ホウコウ</t>
    </rPh>
    <phoneticPr fontId="1"/>
  </si>
  <si>
    <t>ジグ内幅(ボルト締口までG53B0X方向)</t>
    <rPh sb="2" eb="3">
      <t>ウチ</t>
    </rPh>
    <rPh sb="3" eb="4">
      <t>ハバ</t>
    </rPh>
    <rPh sb="18" eb="20">
      <t>ホウコウ</t>
    </rPh>
    <phoneticPr fontId="1"/>
  </si>
  <si>
    <t>その他</t>
    <rPh sb="2" eb="3">
      <t>タ</t>
    </rPh>
    <phoneticPr fontId="1"/>
  </si>
  <si>
    <t>固定用ボルト長X</t>
    <rPh sb="0" eb="3">
      <t>コテイヨウ</t>
    </rPh>
    <rPh sb="6" eb="7">
      <t>チョウ</t>
    </rPh>
    <phoneticPr fontId="1"/>
  </si>
  <si>
    <t>固定用ボルト長Y</t>
    <rPh sb="0" eb="3">
      <t>コテイヨウ</t>
    </rPh>
    <rPh sb="6" eb="7">
      <t>チョウ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</si>
  <si>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Ab</t>
    </r>
    <phoneticPr fontId="1"/>
  </si>
  <si>
    <t>トップ端 AC内径</t>
    <rPh sb="3" eb="4">
      <t>タン</t>
    </rPh>
    <phoneticPr fontId="1"/>
  </si>
  <si>
    <t>ボトム端 AC内径</t>
    <rPh sb="3" eb="4">
      <t>タン</t>
    </rPh>
    <phoneticPr fontId="1"/>
  </si>
  <si>
    <t>ボトム外削AC径</t>
    <rPh sb="3" eb="5">
      <t>ガイサク</t>
    </rPh>
    <rPh sb="7" eb="8">
      <t>ケイ</t>
    </rPh>
    <phoneticPr fontId="1"/>
  </si>
  <si>
    <t>ボトム外削BD径</t>
    <rPh sb="3" eb="5">
      <t>ガイサク</t>
    </rPh>
    <rPh sb="7" eb="8">
      <t>ケイ</t>
    </rPh>
    <phoneticPr fontId="1"/>
  </si>
  <si>
    <t>ボトム端 内C面取</t>
    <rPh sb="3" eb="4">
      <t>ハシ</t>
    </rPh>
    <rPh sb="5" eb="6">
      <t>ウチ</t>
    </rPh>
    <rPh sb="7" eb="9">
      <t>メント</t>
    </rPh>
    <phoneticPr fontId="1"/>
  </si>
  <si>
    <t>トップ端 外C面取</t>
    <rPh sb="3" eb="4">
      <t>ハシ</t>
    </rPh>
    <rPh sb="5" eb="6">
      <t>ソト</t>
    </rPh>
    <rPh sb="7" eb="9">
      <t>メント</t>
    </rPh>
    <phoneticPr fontId="1"/>
  </si>
  <si>
    <t>トップ端 内C面取</t>
    <rPh sb="3" eb="4">
      <t>ハシ</t>
    </rPh>
    <rPh sb="5" eb="6">
      <t>ウチ</t>
    </rPh>
    <rPh sb="7" eb="9">
      <t>メント</t>
    </rPh>
    <phoneticPr fontId="1"/>
  </si>
  <si>
    <t>トップ 内面取 長さ</t>
    <rPh sb="4" eb="5">
      <t>ウチ</t>
    </rPh>
    <rPh sb="5" eb="7">
      <t>メントリ</t>
    </rPh>
    <rPh sb="8" eb="9">
      <t>ナガ</t>
    </rPh>
    <phoneticPr fontId="1"/>
  </si>
  <si>
    <t>ジグ外幅の半分(G53B0 Z方向)</t>
    <rPh sb="2" eb="3">
      <t>ガイ</t>
    </rPh>
    <rPh sb="3" eb="4">
      <t>ハバ</t>
    </rPh>
    <rPh sb="5" eb="7">
      <t>ハンブン</t>
    </rPh>
    <rPh sb="15" eb="17">
      <t>ホウコウ</t>
    </rPh>
    <phoneticPr fontId="1"/>
  </si>
  <si>
    <t>中心基準(1:Bot, 2:Top)</t>
    <rPh sb="0" eb="2">
      <t>チュウシン</t>
    </rPh>
    <rPh sb="2" eb="4">
      <t>キジュン</t>
    </rPh>
    <phoneticPr fontId="1"/>
  </si>
  <si>
    <t>溝 コーナーR</t>
    <rPh sb="0" eb="1">
      <t>ミゾ</t>
    </rPh>
    <phoneticPr fontId="1"/>
  </si>
  <si>
    <t>溝 コーナーC</t>
    <rPh sb="0" eb="1">
      <t>ミゾ</t>
    </rPh>
    <phoneticPr fontId="1"/>
  </si>
  <si>
    <t>ボトム 外C面取 角度(deg)</t>
    <rPh sb="4" eb="5">
      <t>ソト</t>
    </rPh>
    <rPh sb="6" eb="8">
      <t>メントリ</t>
    </rPh>
    <rPh sb="9" eb="11">
      <t>カクド</t>
    </rPh>
    <phoneticPr fontId="1"/>
  </si>
  <si>
    <t>ボトム 内C面取 長さ</t>
    <rPh sb="4" eb="5">
      <t>ウチ</t>
    </rPh>
    <rPh sb="6" eb="8">
      <t>メントリ</t>
    </rPh>
    <rPh sb="9" eb="10">
      <t>ナガ</t>
    </rPh>
    <phoneticPr fontId="1"/>
  </si>
  <si>
    <t>ボトム 内C面取 角度(deg)</t>
    <rPh sb="4" eb="5">
      <t>ウチ</t>
    </rPh>
    <rPh sb="6" eb="8">
      <t>メントリ</t>
    </rPh>
    <rPh sb="9" eb="11">
      <t>カクド</t>
    </rPh>
    <phoneticPr fontId="1"/>
  </si>
  <si>
    <t>G55 ボトム端 湾曲中心X</t>
    <rPh sb="9" eb="13">
      <t>ワンキョク</t>
    </rPh>
    <phoneticPr fontId="1"/>
  </si>
  <si>
    <t xml:space="preserve">G57 トップ端 湾曲中心X </t>
    <rPh sb="7" eb="8">
      <t>タン</t>
    </rPh>
    <phoneticPr fontId="1"/>
  </si>
  <si>
    <t>トップ 外C面取 長さ</t>
    <rPh sb="4" eb="5">
      <t>ソト</t>
    </rPh>
    <rPh sb="6" eb="8">
      <t>メントリ</t>
    </rPh>
    <rPh sb="9" eb="10">
      <t>ナガ</t>
    </rPh>
    <phoneticPr fontId="1"/>
  </si>
  <si>
    <t>トップ 外C面取 角度(deg)</t>
    <rPh sb="4" eb="5">
      <t>ソト</t>
    </rPh>
    <rPh sb="6" eb="8">
      <t>メントリ</t>
    </rPh>
    <rPh sb="9" eb="11">
      <t>カクド</t>
    </rPh>
    <phoneticPr fontId="1"/>
  </si>
  <si>
    <t>トップ外削 コーナーR</t>
    <rPh sb="3" eb="4">
      <t>ガイ</t>
    </rPh>
    <phoneticPr fontId="1"/>
  </si>
  <si>
    <t>トップ外削 AC径</t>
    <rPh sb="3" eb="5">
      <t>ガイサク</t>
    </rPh>
    <rPh sb="8" eb="9">
      <t>ケイ</t>
    </rPh>
    <phoneticPr fontId="1"/>
  </si>
  <si>
    <t>トップ外削 BD径</t>
    <rPh sb="3" eb="5">
      <t>ガイサク</t>
    </rPh>
    <rPh sb="8" eb="9">
      <t>ケイ</t>
    </rPh>
    <phoneticPr fontId="1"/>
  </si>
  <si>
    <t>トップ外削長</t>
    <rPh sb="3" eb="5">
      <t>ガイサク</t>
    </rPh>
    <rPh sb="5" eb="6">
      <t>チョウ</t>
    </rPh>
    <phoneticPr fontId="1"/>
  </si>
  <si>
    <t>トップ外削 A側面肉厚（トップ基準時）</t>
    <rPh sb="3" eb="5">
      <t>ガイサク</t>
    </rPh>
    <rPh sb="7" eb="8">
      <t>ガワ</t>
    </rPh>
    <rPh sb="8" eb="9">
      <t>メン</t>
    </rPh>
    <rPh sb="9" eb="11">
      <t>ニクアツ</t>
    </rPh>
    <rPh sb="15" eb="17">
      <t>キジュン</t>
    </rPh>
    <rPh sb="17" eb="18">
      <t>ジ</t>
    </rPh>
    <phoneticPr fontId="1"/>
  </si>
  <si>
    <t>工具番号</t>
    <rPh sb="0" eb="2">
      <t>コウグ</t>
    </rPh>
    <rPh sb="2" eb="4">
      <t>バンゴウ</t>
    </rPh>
    <phoneticPr fontId="1"/>
  </si>
  <si>
    <t>端面用 フェイスミル</t>
    <rPh sb="0" eb="2">
      <t>タンメン</t>
    </rPh>
    <rPh sb="2" eb="3">
      <t>ヨウ</t>
    </rPh>
    <phoneticPr fontId="1"/>
  </si>
  <si>
    <t>溝用 サイドカッター Φ100×t7</t>
    <rPh sb="0" eb="1">
      <t>ミゾ</t>
    </rPh>
    <rPh sb="1" eb="2">
      <t>ヨウ</t>
    </rPh>
    <phoneticPr fontId="1"/>
  </si>
  <si>
    <t>溝用 サイドカッター Φ75×t5</t>
    <rPh sb="0" eb="1">
      <t>ミゾ</t>
    </rPh>
    <rPh sb="1" eb="2">
      <t>ヨウ</t>
    </rPh>
    <phoneticPr fontId="1"/>
  </si>
  <si>
    <t>外削用 スクエアエンドミル Φ20</t>
    <rPh sb="0" eb="2">
      <t>ガイサク</t>
    </rPh>
    <rPh sb="2" eb="3">
      <t>ヨウ</t>
    </rPh>
    <phoneticPr fontId="1"/>
  </si>
  <si>
    <t>ディンプル用 Tスロットカッター Φ40×R20</t>
    <rPh sb="5" eb="6">
      <t>ヨウ</t>
    </rPh>
    <phoneticPr fontId="1"/>
  </si>
  <si>
    <t>ディンプル用 Tスロットカッター Φ40×R6.6</t>
    <rPh sb="5" eb="6">
      <t>ヨウ</t>
    </rPh>
    <phoneticPr fontId="1"/>
  </si>
  <si>
    <t>ディンプル用 Tスロットカッター Φ30×R15</t>
    <rPh sb="5" eb="6">
      <t>ヨウ</t>
    </rPh>
    <phoneticPr fontId="1"/>
  </si>
  <si>
    <t>逃し溝用 アングルヘッド 15.5in</t>
    <rPh sb="0" eb="1">
      <t>ニガ</t>
    </rPh>
    <rPh sb="3" eb="4">
      <t>ヨウ</t>
    </rPh>
    <phoneticPr fontId="1"/>
  </si>
  <si>
    <t>G54 ボトム端 外径中心X</t>
    <rPh sb="7" eb="8">
      <t>タン</t>
    </rPh>
    <rPh sb="9" eb="11">
      <t>ガイケイ</t>
    </rPh>
    <phoneticPr fontId="1"/>
  </si>
  <si>
    <t>G56 トップ端 外径中心X</t>
    <rPh sb="7" eb="8">
      <t>タン</t>
    </rPh>
    <rPh sb="9" eb="11">
      <t>ガイケイ</t>
    </rPh>
    <rPh sb="11" eb="13">
      <t>チュウシン</t>
    </rPh>
    <phoneticPr fontId="1"/>
  </si>
  <si>
    <t>平行角度 ボトム側</t>
    <rPh sb="0" eb="2">
      <t>ヘイコウ</t>
    </rPh>
    <rPh sb="2" eb="4">
      <t>カクド</t>
    </rPh>
    <rPh sb="8" eb="9">
      <t>ガワ</t>
    </rPh>
    <phoneticPr fontId="1"/>
  </si>
  <si>
    <t>原点設定</t>
    <rPh sb="0" eb="2">
      <t>ゲンテン</t>
    </rPh>
    <rPh sb="2" eb="4">
      <t>セッテイ</t>
    </rPh>
    <phoneticPr fontId="1"/>
  </si>
  <si>
    <t>プログラム番号</t>
    <rPh sb="5" eb="7">
      <t>バンゴウ</t>
    </rPh>
    <phoneticPr fontId="1"/>
  </si>
  <si>
    <t>測定 外側中心X（両側）</t>
    <rPh sb="0" eb="2">
      <t>ソクテイ</t>
    </rPh>
    <rPh sb="3" eb="5">
      <t>ソトガワ</t>
    </rPh>
    <rPh sb="5" eb="7">
      <t>チュウシン</t>
    </rPh>
    <rPh sb="9" eb="11">
      <t>リョウガワ</t>
    </rPh>
    <phoneticPr fontId="1"/>
  </si>
  <si>
    <t>測定 外側中心Y</t>
    <rPh sb="0" eb="2">
      <t>ソクテイ</t>
    </rPh>
    <rPh sb="3" eb="5">
      <t>ソトガワ</t>
    </rPh>
    <rPh sb="5" eb="7">
      <t>チュウシン</t>
    </rPh>
    <phoneticPr fontId="1"/>
  </si>
  <si>
    <t>測定 溝中心X（片側）</t>
    <rPh sb="0" eb="2">
      <t>ソクテイ</t>
    </rPh>
    <rPh sb="3" eb="4">
      <t>ミゾ</t>
    </rPh>
    <rPh sb="4" eb="6">
      <t>チュウシン</t>
    </rPh>
    <rPh sb="8" eb="10">
      <t>カタガワ</t>
    </rPh>
    <phoneticPr fontId="1"/>
  </si>
  <si>
    <t>測定 内側中心X</t>
    <rPh sb="0" eb="2">
      <t>ソクテイ</t>
    </rPh>
    <rPh sb="3" eb="5">
      <t>ウチガワ</t>
    </rPh>
    <rPh sb="5" eb="7">
      <t>チュウシン</t>
    </rPh>
    <phoneticPr fontId="1"/>
  </si>
  <si>
    <t>測定 内側中心Y</t>
    <rPh sb="0" eb="2">
      <t>ソクテイ</t>
    </rPh>
    <rPh sb="3" eb="5">
      <t>ウチガワ</t>
    </rPh>
    <rPh sb="5" eb="7">
      <t>チュウシン</t>
    </rPh>
    <phoneticPr fontId="1"/>
  </si>
  <si>
    <t>測定 外削中心X（片側）</t>
    <rPh sb="0" eb="2">
      <t>ソクテイ</t>
    </rPh>
    <rPh sb="3" eb="5">
      <t>ガイサク</t>
    </rPh>
    <rPh sb="5" eb="7">
      <t>チュウシン</t>
    </rPh>
    <rPh sb="9" eb="11">
      <t>カタガワ</t>
    </rPh>
    <phoneticPr fontId="1"/>
  </si>
  <si>
    <t>ディンプル</t>
    <phoneticPr fontId="1"/>
  </si>
  <si>
    <t>ディンプル１列目個数</t>
    <rPh sb="6" eb="8">
      <t>レツメ</t>
    </rPh>
    <rPh sb="8" eb="10">
      <t>コスウ</t>
    </rPh>
    <phoneticPr fontId="1"/>
  </si>
  <si>
    <t>ディンプル２列目個数</t>
    <rPh sb="6" eb="8">
      <t>レツメ</t>
    </rPh>
    <rPh sb="8" eb="10">
      <t>コスウ</t>
    </rPh>
    <phoneticPr fontId="1"/>
  </si>
  <si>
    <t>ディンプル加工用傾き角（度）</t>
    <rPh sb="5" eb="8">
      <t>カコウヨウ</t>
    </rPh>
    <rPh sb="8" eb="9">
      <t>カタム</t>
    </rPh>
    <rPh sb="10" eb="11">
      <t>カク</t>
    </rPh>
    <rPh sb="12" eb="13">
      <t>ド</t>
    </rPh>
    <phoneticPr fontId="1"/>
  </si>
  <si>
    <t>トップ端-ディンプル１列目間距離</t>
    <rPh sb="3" eb="4">
      <t>タン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</si>
  <si>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ディンプルピッチ鉛直</t>
    <rPh sb="8" eb="10">
      <t>エンチョク</t>
    </rPh>
    <phoneticPr fontId="1"/>
  </si>
  <si>
    <t>ディンプルピッチ水平</t>
    <rPh sb="8" eb="10">
      <t>スイヘイ</t>
    </rPh>
    <phoneticPr fontId="1"/>
  </si>
  <si>
    <t>ディンプル１列目（奇数列）長さ</t>
  </si>
  <si>
    <t>ディンプル１列目（奇数列）長さ</t>
    <rPh sb="6" eb="8">
      <t>レツメ</t>
    </rPh>
    <rPh sb="9" eb="11">
      <t>キスウ</t>
    </rPh>
    <rPh sb="11" eb="12">
      <t>レツ</t>
    </rPh>
    <rPh sb="13" eb="14">
      <t>ナガ</t>
    </rPh>
    <phoneticPr fontId="1"/>
  </si>
  <si>
    <t>ディンプル２列目（偶数列）長さ</t>
    <rPh sb="6" eb="8">
      <t>レツメ</t>
    </rPh>
    <rPh sb="9" eb="11">
      <t>グウスウ</t>
    </rPh>
    <rPh sb="11" eb="12">
      <t>レツ</t>
    </rPh>
    <rPh sb="13" eb="14">
      <t>ナガ</t>
    </rPh>
    <phoneticPr fontId="1"/>
  </si>
  <si>
    <t>ディンプル列数</t>
    <rPh sb="5" eb="6">
      <t>レツ</t>
    </rPh>
    <rPh sb="6" eb="7">
      <t>スウ</t>
    </rPh>
    <phoneticPr fontId="1"/>
  </si>
  <si>
    <t>ディンプル深さ</t>
    <rPh sb="5" eb="6">
      <t>フカ</t>
    </rPh>
    <phoneticPr fontId="1"/>
  </si>
  <si>
    <t>振分中心-ディンプルm-1列目間距離</t>
    <rPh sb="0" eb="2">
      <t>フリワケ</t>
    </rPh>
    <rPh sb="2" eb="4">
      <t>チュウシン</t>
    </rPh>
    <rPh sb="13" eb="14">
      <t>レツ</t>
    </rPh>
    <rPh sb="14" eb="15">
      <t>メ</t>
    </rPh>
    <rPh sb="15" eb="16">
      <t>カン</t>
    </rPh>
    <rPh sb="16" eb="18">
      <t>キョリ</t>
    </rPh>
    <phoneticPr fontId="1"/>
  </si>
  <si>
    <t>振分中心-ディンプルm列目間距離</t>
    <rPh sb="0" eb="2">
      <t>フリワケ</t>
    </rPh>
    <rPh sb="2" eb="4">
      <t>チュウシン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</si>
  <si>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 奇数列の数</t>
    <rPh sb="6" eb="8">
      <t>キスウ</t>
    </rPh>
    <rPh sb="8" eb="9">
      <t>レツ</t>
    </rPh>
    <rPh sb="10" eb="11">
      <t>カズ</t>
    </rPh>
    <phoneticPr fontId="1"/>
  </si>
  <si>
    <t>ディンプル 偶数列の数</t>
    <rPh sb="6" eb="8">
      <t>グウスウ</t>
    </rPh>
    <rPh sb="8" eb="9">
      <t>レツ</t>
    </rPh>
    <rPh sb="9" eb="10">
      <t>スウレツ</t>
    </rPh>
    <rPh sb="10" eb="11">
      <t>カズ</t>
    </rPh>
    <phoneticPr fontId="1"/>
  </si>
  <si>
    <t>ディンプル（傾き前）</t>
    <rPh sb="6" eb="7">
      <t>カタム</t>
    </rPh>
    <rPh sb="8" eb="9">
      <t>マエ</t>
    </rPh>
    <phoneticPr fontId="1"/>
  </si>
  <si>
    <t>ディンプルm-1列目-トップ端 湾曲中心間X距離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</si>
  <si>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湾曲中心間X距離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</si>
  <si>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ディンプル加工用傾き角A（deg,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</si>
  <si>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ディンプル加工用傾き角A（deg,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</si>
  <si>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ディンプル加工用傾き角C（deg,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</si>
  <si>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ディンプル加工用傾き角C（deg,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</si>
  <si>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A内面トップ端-ディンプル間 最近X距離</t>
    <rPh sb="1" eb="3">
      <t>ナイメン</t>
    </rPh>
    <rPh sb="6" eb="7">
      <t>タン</t>
    </rPh>
    <rPh sb="13" eb="14">
      <t>カン</t>
    </rPh>
    <rPh sb="15" eb="17">
      <t>サイキン</t>
    </rPh>
    <rPh sb="18" eb="20">
      <t>キョリ</t>
    </rPh>
    <phoneticPr fontId="1"/>
  </si>
  <si>
    <t>ディンプル列（全明細中）最大数</t>
    <rPh sb="5" eb="6">
      <t>レツ</t>
    </rPh>
    <rPh sb="7" eb="8">
      <t>ゼン</t>
    </rPh>
    <rPh sb="8" eb="10">
      <t>メイサイ</t>
    </rPh>
    <rPh sb="10" eb="11">
      <t>チュウ</t>
    </rPh>
    <rPh sb="12" eb="15">
      <t>サイダイスウ</t>
    </rPh>
    <phoneticPr fontId="1"/>
  </si>
  <si>
    <t>ディンプル（傾き後）</t>
    <rPh sb="6" eb="7">
      <t>カタム</t>
    </rPh>
    <rPh sb="8" eb="9">
      <t>ゴ</t>
    </rPh>
    <phoneticPr fontId="1"/>
  </si>
  <si>
    <t>Aディンプル トップ端-1列目間用</t>
    <rPh sb="10" eb="11">
      <t>タン</t>
    </rPh>
    <rPh sb="13" eb="15">
      <t>レツメ</t>
    </rPh>
    <rPh sb="15" eb="16">
      <t>カン</t>
    </rPh>
    <rPh sb="16" eb="17">
      <t>ヨウ</t>
    </rPh>
    <phoneticPr fontId="1"/>
  </si>
  <si>
    <t>ディンプルm-1列目-トップ端 湾曲中心間Z距離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</si>
  <si>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湾曲中心間Z距離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</si>
  <si>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ディンプル（その他）</t>
    <rPh sb="8" eb="9">
      <t>タ</t>
    </rPh>
    <phoneticPr fontId="1"/>
  </si>
  <si>
    <t>Cディンプル 1列目-m列目間用</t>
    <rPh sb="8" eb="10">
      <t>レツメ</t>
    </rPh>
    <rPh sb="12" eb="14">
      <t>レツメ</t>
    </rPh>
    <rPh sb="14" eb="15">
      <t>カン</t>
    </rPh>
    <rPh sb="15" eb="16">
      <t>ヨウ</t>
    </rPh>
    <phoneticPr fontId="1"/>
  </si>
  <si>
    <t>ディンプルm-1列目の長さ</t>
    <rPh sb="8" eb="9">
      <t>レツ</t>
    </rPh>
    <rPh sb="9" eb="10">
      <t>メ</t>
    </rPh>
    <rPh sb="11" eb="12">
      <t>ナガ</t>
    </rPh>
    <phoneticPr fontId="1"/>
  </si>
  <si>
    <t>ディンプルm列目の長さ</t>
    <rPh sb="6" eb="7">
      <t>レツ</t>
    </rPh>
    <rPh sb="7" eb="8">
      <t>メ</t>
    </rPh>
    <rPh sb="9" eb="10">
      <t>ナガ</t>
    </rPh>
    <phoneticPr fontId="1"/>
  </si>
  <si>
    <t>ディンプル 移動 各列の中心上</t>
    <rPh sb="6" eb="8">
      <t>イドウ</t>
    </rPh>
    <rPh sb="9" eb="11">
      <t>カクレツ</t>
    </rPh>
    <rPh sb="12" eb="14">
      <t>チュウシン</t>
    </rPh>
    <rPh sb="14" eb="15">
      <t>ジョウ</t>
    </rPh>
    <phoneticPr fontId="1"/>
  </si>
  <si>
    <t>加工 端面 コーナーR 右回り1周</t>
  </si>
  <si>
    <t>加工 外削 コーナーR 左回り1周</t>
  </si>
  <si>
    <t>加工 溝 左回り1周</t>
  </si>
  <si>
    <t>加工 外面取 コーナーR 左回り1周</t>
  </si>
  <si>
    <t>加工 内面取 コーナーR 左回り1周</t>
  </si>
  <si>
    <t>ボトム振分長</t>
    <rPh sb="3" eb="5">
      <t>フリワケ</t>
    </rPh>
    <rPh sb="5" eb="6">
      <t>チョウ</t>
    </rPh>
    <phoneticPr fontId="1"/>
  </si>
  <si>
    <t>ボトム再振分長</t>
    <rPh sb="3" eb="4">
      <t>サイ</t>
    </rPh>
    <rPh sb="4" eb="6">
      <t>フリワケ</t>
    </rPh>
    <rPh sb="6" eb="7">
      <t>チョウ</t>
    </rPh>
    <phoneticPr fontId="1"/>
  </si>
  <si>
    <t>ボトム AC外削径</t>
    <rPh sb="6" eb="7">
      <t>ガイ</t>
    </rPh>
    <rPh sb="7" eb="8">
      <t>サク</t>
    </rPh>
    <rPh sb="8" eb="9">
      <t>ケイ</t>
    </rPh>
    <phoneticPr fontId="1"/>
  </si>
  <si>
    <t>G54 X ボトム外側中心X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</si>
  <si>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ボトム A側肉厚</t>
    <rPh sb="5" eb="6">
      <t>ガワ</t>
    </rPh>
    <rPh sb="6" eb="8">
      <t>ニクアツ</t>
    </rPh>
    <phoneticPr fontId="1"/>
  </si>
  <si>
    <t>ボトム 内面取長</t>
    <rPh sb="4" eb="5">
      <t>ウチ</t>
    </rPh>
    <rPh sb="5" eb="7">
      <t>メントリ</t>
    </rPh>
    <rPh sb="7" eb="8">
      <t>チョウ</t>
    </rPh>
    <phoneticPr fontId="1"/>
  </si>
  <si>
    <t>内面 めっき膜厚</t>
    <rPh sb="0" eb="2">
      <t>ナイメン</t>
    </rPh>
    <phoneticPr fontId="1"/>
  </si>
  <si>
    <t>ジグの底 機械座標Y</t>
    <rPh sb="3" eb="4">
      <t>ソコ</t>
    </rPh>
    <rPh sb="5" eb="7">
      <t>キカイ</t>
    </rPh>
    <rPh sb="7" eb="9">
      <t>ザヒョウ</t>
    </rPh>
    <phoneticPr fontId="1"/>
  </si>
  <si>
    <t>テーブル基準</t>
    <rPh sb="4" eb="6">
      <t>キジュン</t>
    </rPh>
    <phoneticPr fontId="1"/>
  </si>
  <si>
    <t>G54 Y ボトム外側中心Y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</si>
  <si>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G55 X ボトム内側中心X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</si>
  <si>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G55 Y ボトム内側中心Y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</si>
  <si>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ボトム端 BD内径</t>
    <rPh sb="3" eb="4">
      <t>タン</t>
    </rPh>
    <rPh sb="7" eb="9">
      <t>ナイケイ</t>
    </rPh>
    <phoneticPr fontId="1"/>
  </si>
  <si>
    <t>G56 X トップ外側中心X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</si>
  <si>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トップ AC外削径</t>
    <rPh sb="6" eb="7">
      <t>ガイ</t>
    </rPh>
    <rPh sb="7" eb="8">
      <t>サク</t>
    </rPh>
    <rPh sb="8" eb="9">
      <t>ケイ</t>
    </rPh>
    <phoneticPr fontId="1"/>
  </si>
  <si>
    <t>トップ再振分長</t>
    <rPh sb="3" eb="4">
      <t>サイ</t>
    </rPh>
    <rPh sb="4" eb="6">
      <t>フリワケ</t>
    </rPh>
    <rPh sb="6" eb="7">
      <t>チョウ</t>
    </rPh>
    <phoneticPr fontId="1"/>
  </si>
  <si>
    <t>トップ振分長</t>
    <rPh sb="3" eb="5">
      <t>フリワケ</t>
    </rPh>
    <rPh sb="5" eb="6">
      <t>チョウ</t>
    </rPh>
    <phoneticPr fontId="1"/>
  </si>
  <si>
    <t>トップ A側肉厚</t>
    <rPh sb="5" eb="6">
      <t>ガワ</t>
    </rPh>
    <rPh sb="6" eb="8">
      <t>ニクアツ</t>
    </rPh>
    <phoneticPr fontId="1"/>
  </si>
  <si>
    <t>トップ 内面取長</t>
    <rPh sb="4" eb="5">
      <t>ウチ</t>
    </rPh>
    <rPh sb="5" eb="7">
      <t>メントリ</t>
    </rPh>
    <rPh sb="7" eb="8">
      <t>チョウ</t>
    </rPh>
    <phoneticPr fontId="1"/>
  </si>
  <si>
    <t>G56 Y トップ外側中心Y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</si>
  <si>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G57 X トップ内側中心X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</si>
  <si>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G57 Y トップ内側中心Y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</si>
  <si>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トップ端 BD内径</t>
    <rPh sb="3" eb="4">
      <t>タン</t>
    </rPh>
    <rPh sb="7" eb="9">
      <t>ナイケイ</t>
    </rPh>
    <phoneticPr fontId="1"/>
  </si>
  <si>
    <t>振分長・傾き角・内径テーパ</t>
    <rPh sb="0" eb="2">
      <t>フリワケ</t>
    </rPh>
    <rPh sb="2" eb="3">
      <t>チョウ</t>
    </rPh>
    <rPh sb="4" eb="5">
      <t>カタム</t>
    </rPh>
    <rPh sb="6" eb="7">
      <t>カク</t>
    </rPh>
    <rPh sb="8" eb="10">
      <t>ナイケイ</t>
    </rPh>
    <phoneticPr fontId="1"/>
  </si>
  <si>
    <t>内径テーパ#</t>
    <rPh sb="0" eb="2">
      <t>ナイケイ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</si>
  <si>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[rad]（理論値）</t>
    </r>
    <rPh sb="9" eb="12">
      <t>リロンチ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</si>
  <si>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[rad]（近似値）</t>
    </r>
    <rPh sb="9" eb="12">
      <t>キンジチ</t>
    </rPh>
    <phoneticPr fontId="1"/>
  </si>
  <si>
    <t>トップ 外削AC径</t>
    <rPh sb="4" eb="5">
      <t>ガイ</t>
    </rPh>
    <rPh sb="5" eb="6">
      <t>サク</t>
    </rPh>
    <rPh sb="8" eb="9">
      <t>ケイ</t>
    </rPh>
    <phoneticPr fontId="1"/>
  </si>
  <si>
    <t>トップ 外削BD径</t>
    <rPh sb="4" eb="5">
      <t>ガイ</t>
    </rPh>
    <rPh sb="5" eb="6">
      <t>サク</t>
    </rPh>
    <rPh sb="8" eb="9">
      <t>ケイ</t>
    </rPh>
    <phoneticPr fontId="1"/>
  </si>
  <si>
    <t>溝コーナーC</t>
    <rPh sb="0" eb="1">
      <t>ミゾ</t>
    </rPh>
    <phoneticPr fontId="1"/>
  </si>
  <si>
    <t>溝コーナーR</t>
    <rPh sb="0" eb="1">
      <t>ミゾ</t>
    </rPh>
    <phoneticPr fontId="1"/>
  </si>
  <si>
    <t>溝タイプ</t>
    <rPh sb="0" eb="1">
      <t>ミゾ</t>
    </rPh>
    <phoneticPr fontId="1"/>
  </si>
  <si>
    <t>溝BD径</t>
    <rPh sb="0" eb="1">
      <t>ミゾ</t>
    </rPh>
    <rPh sb="3" eb="4">
      <t>ケイ</t>
    </rPh>
    <phoneticPr fontId="1"/>
  </si>
  <si>
    <t>Q</t>
    <phoneticPr fontId="1"/>
  </si>
  <si>
    <t>P1</t>
    <phoneticPr fontId="1"/>
  </si>
  <si>
    <t>P1-4</t>
    <phoneticPr fontId="1"/>
  </si>
  <si>
    <t>P2</t>
    <phoneticPr fontId="1"/>
  </si>
  <si>
    <t>P3</t>
    <phoneticPr fontId="1"/>
  </si>
  <si>
    <t>P4</t>
    <phoneticPr fontId="1"/>
  </si>
  <si>
    <t>W</t>
    <phoneticPr fontId="1"/>
  </si>
  <si>
    <t>T</t>
    <phoneticPr fontId="1"/>
  </si>
  <si>
    <t>C</t>
    <phoneticPr fontId="1"/>
  </si>
  <si>
    <t>R</t>
    <phoneticPr fontId="1"/>
  </si>
  <si>
    <t>M</t>
    <phoneticPr fontId="1"/>
  </si>
  <si>
    <t>I</t>
    <phoneticPr fontId="1"/>
  </si>
  <si>
    <t>F</t>
    <phoneticPr fontId="1"/>
  </si>
  <si>
    <t>S</t>
    <phoneticPr fontId="1"/>
  </si>
  <si>
    <t>K</t>
    <phoneticPr fontId="1"/>
  </si>
  <si>
    <t>U</t>
    <phoneticPr fontId="1"/>
  </si>
  <si>
    <t>A</t>
    <phoneticPr fontId="1"/>
  </si>
  <si>
    <t>V</t>
    <phoneticPr fontId="1"/>
  </si>
  <si>
    <t>トップ外削 コーナーR</t>
    <rPh sb="3" eb="5">
      <t>ガイサク</t>
    </rPh>
    <phoneticPr fontId="1"/>
  </si>
  <si>
    <t>トップ再振分長（θ:0.001度単位）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</si>
  <si>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ボトム再振分長（θ:0.001度単位）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</si>
  <si>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トップ再張出長（θ:0.001度単位）</t>
    <rPh sb="3" eb="4">
      <t>サイ</t>
    </rPh>
    <rPh sb="4" eb="6">
      <t>ハリダシ</t>
    </rPh>
    <rPh sb="6" eb="7">
      <t>チョウ</t>
    </rPh>
    <phoneticPr fontId="1"/>
  </si>
  <si>
    <t>ボトム再張出長（θ:0.001度単位）</t>
    <rPh sb="3" eb="4">
      <t>サイ</t>
    </rPh>
    <rPh sb="4" eb="6">
      <t>ハリダシ</t>
    </rPh>
    <rPh sb="6" eb="7">
      <t>チョウ</t>
    </rPh>
    <phoneticPr fontId="1"/>
  </si>
  <si>
    <t>平行角度 トップ側</t>
    <rPh sb="0" eb="2">
      <t>ヘイコウ</t>
    </rPh>
    <rPh sb="2" eb="4">
      <t>カクド</t>
    </rPh>
    <rPh sb="8" eb="9">
      <t>ガワ</t>
    </rPh>
    <phoneticPr fontId="1"/>
  </si>
  <si>
    <t>P</t>
    <phoneticPr fontId="1"/>
  </si>
  <si>
    <t>G54 ボトム外削中心（ボトム基準）</t>
    <rPh sb="7" eb="9">
      <t>ガイサク</t>
    </rPh>
    <rPh sb="15" eb="17">
      <t>キジュン</t>
    </rPh>
    <phoneticPr fontId="1"/>
  </si>
  <si>
    <t>G54 ボトム外削中心（トップ基準）</t>
    <rPh sb="7" eb="9">
      <t>ガイサク</t>
    </rPh>
    <rPh sb="9" eb="11">
      <t>チュウシン</t>
    </rPh>
    <rPh sb="15" eb="17">
      <t>キジュン</t>
    </rPh>
    <phoneticPr fontId="1"/>
  </si>
  <si>
    <t>外形 コーナーR</t>
    <rPh sb="0" eb="2">
      <t>ガイケイ</t>
    </rPh>
    <phoneticPr fontId="1"/>
  </si>
  <si>
    <t>外形</t>
    <rPh sb="0" eb="2">
      <t>ガイ</t>
    </rPh>
    <phoneticPr fontId="1"/>
  </si>
  <si>
    <t>内形</t>
    <rPh sb="0" eb="1">
      <t>ウチ</t>
    </rPh>
    <rPh sb="1" eb="2">
      <t>ケイ</t>
    </rPh>
    <phoneticPr fontId="1"/>
  </si>
  <si>
    <t>ボトム外削長</t>
    <rPh sb="3" eb="5">
      <t>ガイサク</t>
    </rPh>
    <rPh sb="5" eb="6">
      <t>チョウ</t>
    </rPh>
    <phoneticPr fontId="1"/>
  </si>
  <si>
    <t>ボトム外削A側面肉厚（ボトム基準時）</t>
    <rPh sb="3" eb="5">
      <t>ガイサク</t>
    </rPh>
    <rPh sb="6" eb="7">
      <t>ガワ</t>
    </rPh>
    <rPh sb="7" eb="8">
      <t>メン</t>
    </rPh>
    <rPh sb="8" eb="10">
      <t>ニクアツ</t>
    </rPh>
    <phoneticPr fontId="1"/>
  </si>
  <si>
    <t>ボトム外削 コーナーR</t>
    <rPh sb="3" eb="4">
      <t>ガイ</t>
    </rPh>
    <phoneticPr fontId="1"/>
  </si>
  <si>
    <t>トップ外削の有無</t>
    <rPh sb="3" eb="5">
      <t>ガイサク</t>
    </rPh>
    <rPh sb="6" eb="8">
      <t>ウム</t>
    </rPh>
    <phoneticPr fontId="1"/>
  </si>
  <si>
    <t>H</t>
    <phoneticPr fontId="1"/>
  </si>
  <si>
    <t>中心湾曲の有無（0:無, 1:有）</t>
    <rPh sb="0" eb="2">
      <t>チュウシン</t>
    </rPh>
    <rPh sb="2" eb="4">
      <t>ワンキョク</t>
    </rPh>
    <rPh sb="5" eb="7">
      <t>ウム</t>
    </rPh>
    <phoneticPr fontId="1"/>
  </si>
  <si>
    <t>トップ外 C or R 面取長</t>
    <rPh sb="3" eb="4">
      <t>ソト</t>
    </rPh>
    <rPh sb="12" eb="14">
      <t>メントリ</t>
    </rPh>
    <rPh sb="14" eb="15">
      <t>チョウ</t>
    </rPh>
    <phoneticPr fontId="1"/>
  </si>
  <si>
    <t>トップ内 C or R 面取長</t>
    <rPh sb="3" eb="4">
      <t>ウチ</t>
    </rPh>
    <rPh sb="12" eb="14">
      <t>メントリ</t>
    </rPh>
    <rPh sb="14" eb="15">
      <t>チョウ</t>
    </rPh>
    <phoneticPr fontId="1"/>
  </si>
  <si>
    <t>トップ外面取 コーナーR</t>
    <rPh sb="3" eb="4">
      <t>ソト</t>
    </rPh>
    <rPh sb="4" eb="6">
      <t>メントリ</t>
    </rPh>
    <phoneticPr fontId="1"/>
  </si>
  <si>
    <t>内形 コーナーR</t>
    <rPh sb="0" eb="1">
      <t>ウチ</t>
    </rPh>
    <rPh sb="1" eb="2">
      <t>ケイ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</si>
  <si>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</si>
  <si>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t>トップ端 BD内径</t>
    <rPh sb="3" eb="4">
      <t>タン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</si>
  <si>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Bb</t>
    </r>
    <phoneticPr fontId="1"/>
  </si>
  <si>
    <t>ボトム端 BD内径</t>
    <rPh sb="3" eb="4">
      <t>タン</t>
    </rPh>
    <phoneticPr fontId="1"/>
  </si>
  <si>
    <t>ボトム 外削AC径</t>
    <rPh sb="4" eb="5">
      <t>ガイ</t>
    </rPh>
    <rPh sb="5" eb="6">
      <t>サク</t>
    </rPh>
    <rPh sb="8" eb="9">
      <t>ケイ</t>
    </rPh>
    <phoneticPr fontId="1"/>
  </si>
  <si>
    <t>ボトム 外削BD径</t>
    <rPh sb="4" eb="5">
      <t>ガイ</t>
    </rPh>
    <rPh sb="5" eb="6">
      <t>サク</t>
    </rPh>
    <rPh sb="8" eb="9">
      <t>ケイ</t>
    </rPh>
    <phoneticPr fontId="1"/>
  </si>
  <si>
    <t>ボトム外削 コーナーR</t>
    <rPh sb="3" eb="5">
      <t>ガイサク</t>
    </rPh>
    <phoneticPr fontId="1"/>
  </si>
  <si>
    <t>ボトム外削の有無</t>
    <rPh sb="3" eb="5">
      <t>ガイサク</t>
    </rPh>
    <rPh sb="6" eb="8">
      <t>ウム</t>
    </rPh>
    <phoneticPr fontId="1"/>
  </si>
  <si>
    <t>G57 ディンプル 測定</t>
    <rPh sb="10" eb="12">
      <t>ソクテイ</t>
    </rPh>
    <phoneticPr fontId="1"/>
  </si>
  <si>
    <t>G57 ディンプル 加工</t>
    <rPh sb="10" eb="12">
      <t>カコウ</t>
    </rPh>
    <phoneticPr fontId="1"/>
  </si>
  <si>
    <t>G57 トップ端面</t>
    <rPh sb="7" eb="9">
      <t>タンメン</t>
    </rPh>
    <phoneticPr fontId="1"/>
  </si>
  <si>
    <t>G56 トップ外削</t>
    <rPh sb="7" eb="9">
      <t>ガイサク</t>
    </rPh>
    <phoneticPr fontId="1"/>
  </si>
  <si>
    <t>G56 トップ端 外C面取</t>
    <rPh sb="7" eb="8">
      <t>タン</t>
    </rPh>
    <rPh sb="9" eb="10">
      <t>ソト</t>
    </rPh>
    <rPh sb="11" eb="13">
      <t>メントリ</t>
    </rPh>
    <phoneticPr fontId="1"/>
  </si>
  <si>
    <t>G57 トップ端 内C面取</t>
    <rPh sb="7" eb="8">
      <t>タン</t>
    </rPh>
    <rPh sb="9" eb="10">
      <t>ウチ</t>
    </rPh>
    <rPh sb="11" eb="13">
      <t>メントリ</t>
    </rPh>
    <phoneticPr fontId="1"/>
  </si>
  <si>
    <t>G54 ボトム外削</t>
    <rPh sb="7" eb="9">
      <t>ガイサク</t>
    </rPh>
    <phoneticPr fontId="1"/>
  </si>
  <si>
    <t>G55 ボトム端面</t>
    <rPh sb="7" eb="9">
      <t>タンメン</t>
    </rPh>
    <phoneticPr fontId="1"/>
  </si>
  <si>
    <t>G54 ボトム端 外C面取</t>
    <rPh sb="7" eb="8">
      <t>タン</t>
    </rPh>
    <rPh sb="9" eb="10">
      <t>ソト</t>
    </rPh>
    <rPh sb="11" eb="13">
      <t>メントリ</t>
    </rPh>
    <phoneticPr fontId="1"/>
  </si>
  <si>
    <t>ボトム外 C or R 面取長</t>
    <rPh sb="3" eb="4">
      <t>ソト</t>
    </rPh>
    <rPh sb="12" eb="14">
      <t>メントリ</t>
    </rPh>
    <rPh sb="14" eb="15">
      <t>チョウ</t>
    </rPh>
    <phoneticPr fontId="1"/>
  </si>
  <si>
    <t>ボトム外面取 コーナーR</t>
    <rPh sb="3" eb="4">
      <t>ソト</t>
    </rPh>
    <rPh sb="4" eb="6">
      <t>メントリ</t>
    </rPh>
    <phoneticPr fontId="1"/>
  </si>
  <si>
    <t>G55 ボトム端 内C面取</t>
    <rPh sb="7" eb="8">
      <t>タン</t>
    </rPh>
    <rPh sb="9" eb="10">
      <t>ウチ</t>
    </rPh>
    <rPh sb="11" eb="13">
      <t>メントリ</t>
    </rPh>
    <phoneticPr fontId="1"/>
  </si>
  <si>
    <t>面取種類 (0:C, 1:R)</t>
    <rPh sb="0" eb="2">
      <t>メントリ</t>
    </rPh>
    <rPh sb="2" eb="4">
      <t>シュルイ</t>
    </rPh>
    <phoneticPr fontId="1"/>
  </si>
  <si>
    <t>ボトム内 C or R 面取長</t>
    <rPh sb="3" eb="4">
      <t>ウチ</t>
    </rPh>
    <rPh sb="12" eb="14">
      <t>メントリ</t>
    </rPh>
    <rPh sb="14" eb="15">
      <t>チョウ</t>
    </rPh>
    <phoneticPr fontId="1"/>
  </si>
  <si>
    <t>ボトム内面 コーナーR</t>
    <rPh sb="3" eb="4">
      <t>ウチ</t>
    </rPh>
    <rPh sb="4" eb="5">
      <t>メン</t>
    </rPh>
    <phoneticPr fontId="1"/>
  </si>
  <si>
    <t>トップ内面 コーナーR</t>
    <rPh sb="3" eb="4">
      <t>ウチ</t>
    </rPh>
    <rPh sb="4" eb="5">
      <t>メン</t>
    </rPh>
    <phoneticPr fontId="1"/>
  </si>
  <si>
    <t>トップ端 内面 コーナーR</t>
    <rPh sb="3" eb="4">
      <t>タン</t>
    </rPh>
    <rPh sb="5" eb="7">
      <t>ナイメン</t>
    </rPh>
    <phoneticPr fontId="1"/>
  </si>
  <si>
    <t>ボトム端 内面 コーナーR</t>
    <rPh sb="3" eb="4">
      <t>タン</t>
    </rPh>
    <rPh sb="5" eb="7">
      <t>ナイメン</t>
    </rPh>
    <phoneticPr fontId="1"/>
  </si>
  <si>
    <t>通り芯X</t>
    <rPh sb="0" eb="1">
      <t>トオ</t>
    </rPh>
    <phoneticPr fontId="1"/>
  </si>
  <si>
    <t>通り芯 AC方向</t>
    <rPh sb="0" eb="1">
      <t>トオ</t>
    </rPh>
    <rPh sb="2" eb="3">
      <t>シン</t>
    </rPh>
    <rPh sb="6" eb="8">
      <t>ホウコウ</t>
    </rPh>
    <phoneticPr fontId="1"/>
  </si>
  <si>
    <t>以下 確認用</t>
    <rPh sb="0" eb="2">
      <t>イカ</t>
    </rPh>
    <rPh sb="3" eb="5">
      <t>カクニン</t>
    </rPh>
    <rPh sb="5" eb="6">
      <t>ヨウ</t>
    </rPh>
    <phoneticPr fontId="1"/>
  </si>
  <si>
    <t>cosθ'</t>
    <phoneticPr fontId="1"/>
  </si>
  <si>
    <t>P5</t>
    <phoneticPr fontId="1"/>
  </si>
  <si>
    <t>eTaper #</t>
    <phoneticPr fontId="1"/>
  </si>
  <si>
    <t>平行角度</t>
    <rPh sb="0" eb="2">
      <t>ヘイコウ</t>
    </rPh>
    <rPh sb="2" eb="4">
      <t>カクド</t>
    </rPh>
    <phoneticPr fontId="1"/>
  </si>
  <si>
    <t>内形 トップ端 コーナーR</t>
    <rPh sb="0" eb="1">
      <t>ウチ</t>
    </rPh>
    <rPh sb="1" eb="2">
      <t>ケイ</t>
    </rPh>
    <rPh sb="6" eb="7">
      <t>タン</t>
    </rPh>
    <phoneticPr fontId="1"/>
  </si>
  <si>
    <t>G58 X 溝中心 芯出し</t>
    <rPh sb="6" eb="7">
      <t>ミゾ</t>
    </rPh>
    <rPh sb="7" eb="9">
      <t>チュウシン</t>
    </rPh>
    <rPh sb="10" eb="12">
      <t>シンダ</t>
    </rPh>
    <phoneticPr fontId="1"/>
  </si>
  <si>
    <t>A側溝深さ</t>
    <rPh sb="1" eb="2">
      <t>ガワ</t>
    </rPh>
    <rPh sb="2" eb="3">
      <t>ミゾ</t>
    </rPh>
    <rPh sb="3" eb="4">
      <t>フカ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</si>
  <si>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</si>
  <si>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溝中心-トップ端外中心の差</t>
    <rPh sb="0" eb="1">
      <t>ミゾ</t>
    </rPh>
    <rPh sb="1" eb="3">
      <t>チュウシン</t>
    </rPh>
    <rPh sb="7" eb="8">
      <t>ハシ</t>
    </rPh>
    <rPh sb="8" eb="9">
      <t>ガイ</t>
    </rPh>
    <rPh sb="9" eb="11">
      <t>チュウシン</t>
    </rPh>
    <rPh sb="12" eb="13">
      <t>サ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</si>
  <si>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</si>
  <si>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溝中央A側-トップ端A側端点間距離</t>
    <rPh sb="0" eb="1">
      <t>ミゾ</t>
    </rPh>
    <rPh sb="1" eb="3">
      <t>チュウオウ</t>
    </rPh>
    <rPh sb="9" eb="10">
      <t>タン</t>
    </rPh>
    <rPh sb="11" eb="12">
      <t>ガワ</t>
    </rPh>
    <rPh sb="12" eb="14">
      <t>タンテン</t>
    </rPh>
    <rPh sb="14" eb="15">
      <t>カン</t>
    </rPh>
    <rPh sb="15" eb="17">
      <t>キョリ</t>
    </rPh>
    <phoneticPr fontId="1"/>
  </si>
  <si>
    <t>G58 Y 溝中心 芯出し</t>
    <rPh sb="6" eb="7">
      <t>ミゾ</t>
    </rPh>
    <rPh sb="7" eb="9">
      <t>チュウシン</t>
    </rPh>
    <rPh sb="10" eb="12">
      <t>シンダ</t>
    </rPh>
    <phoneticPr fontId="1"/>
  </si>
  <si>
    <t>G58 溝中心X（外削なし）</t>
    <rPh sb="4" eb="5">
      <t>ミゾ</t>
    </rPh>
    <rPh sb="5" eb="7">
      <t>チュウシン</t>
    </rPh>
    <rPh sb="9" eb="11">
      <t>ガイサク</t>
    </rPh>
    <phoneticPr fontId="1"/>
  </si>
  <si>
    <t>トップ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</si>
  <si>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トップ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</si>
  <si>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t>G56X = G54X + 通り心</t>
    <rPh sb="14" eb="15">
      <t>トオ</t>
    </rPh>
    <rPh sb="16" eb="17">
      <t>シン</t>
    </rPh>
    <phoneticPr fontId="1"/>
  </si>
  <si>
    <t>G54Y = G55Y</t>
    <phoneticPr fontId="1"/>
  </si>
  <si>
    <t>#5222</t>
    <phoneticPr fontId="1"/>
  </si>
  <si>
    <t>#5242</t>
    <phoneticPr fontId="1"/>
  </si>
  <si>
    <t>#5261</t>
    <phoneticPr fontId="1"/>
  </si>
  <si>
    <t>#5262</t>
    <phoneticPr fontId="1"/>
  </si>
  <si>
    <t>#5221</t>
    <phoneticPr fontId="1"/>
  </si>
  <si>
    <t>通り心</t>
    <rPh sb="0" eb="1">
      <t>トオ</t>
    </rPh>
    <rPh sb="2" eb="3">
      <t>シン</t>
    </rPh>
    <phoneticPr fontId="1"/>
  </si>
  <si>
    <t>G58X = G56X</t>
    <phoneticPr fontId="1"/>
  </si>
  <si>
    <t>#5301</t>
    <phoneticPr fontId="1"/>
  </si>
  <si>
    <t>G58Y = G56Y</t>
    <phoneticPr fontId="1"/>
  </si>
  <si>
    <t>#5302</t>
    <phoneticPr fontId="1"/>
  </si>
  <si>
    <t>外削長 ? 溝位置+溝幅（0:=, 1:not =）</t>
    <rPh sb="0" eb="2">
      <t>ガイサク</t>
    </rPh>
    <rPh sb="2" eb="3">
      <t>チョウ</t>
    </rPh>
    <rPh sb="6" eb="7">
      <t>ミゾ</t>
    </rPh>
    <rPh sb="7" eb="9">
      <t>イチ</t>
    </rPh>
    <rPh sb="10" eb="12">
      <t>ミゾハバ</t>
    </rPh>
    <phoneticPr fontId="1"/>
  </si>
  <si>
    <t>G56Y = G57Y</t>
    <phoneticPr fontId="1"/>
  </si>
  <si>
    <t>#5282</t>
    <phoneticPr fontId="1"/>
  </si>
  <si>
    <t>G58 溝中心X（外削なし A溝深さ基準）</t>
    <rPh sb="4" eb="5">
      <t>ミゾ</t>
    </rPh>
    <rPh sb="5" eb="7">
      <t>チュウシン</t>
    </rPh>
    <rPh sb="9" eb="11">
      <t>ガイサク</t>
    </rPh>
    <rPh sb="15" eb="16">
      <t>ミゾ</t>
    </rPh>
    <rPh sb="16" eb="17">
      <t>フカ</t>
    </rPh>
    <rPh sb="18" eb="20">
      <t>キジュン</t>
    </rPh>
    <phoneticPr fontId="1"/>
  </si>
  <si>
    <t>A側溝深さ指定 有無（0:無, 1:有）</t>
    <rPh sb="1" eb="2">
      <t>ガワ</t>
    </rPh>
    <rPh sb="2" eb="3">
      <t>ミゾ</t>
    </rPh>
    <rPh sb="3" eb="4">
      <t>フカ</t>
    </rPh>
    <rPh sb="5" eb="7">
      <t>シテイ</t>
    </rPh>
    <rPh sb="8" eb="10">
      <t>ウム</t>
    </rPh>
    <rPh sb="13" eb="14">
      <t>ム</t>
    </rPh>
    <rPh sb="18" eb="19">
      <t>ユウ</t>
    </rPh>
    <phoneticPr fontId="1"/>
  </si>
  <si>
    <t>A側溝深さ（指定時）</t>
    <rPh sb="1" eb="2">
      <t>ガワ</t>
    </rPh>
    <rPh sb="2" eb="3">
      <t>ミゾ</t>
    </rPh>
    <rPh sb="3" eb="4">
      <t>フカ</t>
    </rPh>
    <rPh sb="6" eb="8">
      <t>シテイ</t>
    </rPh>
    <rPh sb="8" eb="9">
      <t>ジ</t>
    </rPh>
    <phoneticPr fontId="1"/>
  </si>
  <si>
    <t>工具先端テーパ有無（0:無, 1:有）</t>
    <rPh sb="0" eb="2">
      <t>コウグ</t>
    </rPh>
    <rPh sb="2" eb="4">
      <t>センタン</t>
    </rPh>
    <rPh sb="7" eb="9">
      <t>ウム</t>
    </rPh>
    <phoneticPr fontId="1"/>
  </si>
  <si>
    <t>G58 溝</t>
    <phoneticPr fontId="1"/>
  </si>
  <si>
    <t>G54 通り芯 測定</t>
    <rPh sb="4" eb="5">
      <t>トオ</t>
    </rPh>
    <rPh sb="6" eb="7">
      <t>シン</t>
    </rPh>
    <rPh sb="8" eb="10">
      <t>ソクテイ</t>
    </rPh>
    <phoneticPr fontId="1"/>
  </si>
  <si>
    <t>A面からの距離</t>
    <rPh sb="1" eb="2">
      <t>メン</t>
    </rPh>
    <rPh sb="5" eb="7">
      <t>キョリ</t>
    </rPh>
    <phoneticPr fontId="1"/>
  </si>
  <si>
    <t>座ぐり幅</t>
    <rPh sb="0" eb="1">
      <t>ザ</t>
    </rPh>
    <rPh sb="3" eb="4">
      <t>ハバ</t>
    </rPh>
    <phoneticPr fontId="1"/>
  </si>
  <si>
    <t>座ぐり深さ</t>
    <rPh sb="0" eb="1">
      <t>ザ</t>
    </rPh>
    <rPh sb="3" eb="4">
      <t>フカ</t>
    </rPh>
    <phoneticPr fontId="1"/>
  </si>
  <si>
    <t>座ぐりコーナーR</t>
    <rPh sb="0" eb="1">
      <t>ザ</t>
    </rPh>
    <phoneticPr fontId="1"/>
  </si>
  <si>
    <t>座ぐり長さ</t>
    <rPh sb="0" eb="1">
      <t>ザ</t>
    </rPh>
    <rPh sb="3" eb="4">
      <t>ナガ</t>
    </rPh>
    <phoneticPr fontId="1"/>
  </si>
  <si>
    <t>G56 端面座ぐり</t>
    <rPh sb="4" eb="6">
      <t>タンメン</t>
    </rPh>
    <rPh sb="6" eb="7">
      <t>ザ</t>
    </rPh>
    <phoneticPr fontId="1"/>
  </si>
  <si>
    <t>加工 端面座ぐり コーナーR 左回り1周</t>
    <rPh sb="3" eb="5">
      <t>タンメン</t>
    </rPh>
    <rPh sb="5" eb="8">
      <t>ザg</t>
    </rPh>
    <phoneticPr fontId="1"/>
  </si>
  <si>
    <t>座ぐり幅</t>
    <rPh sb="0" eb="3">
      <t>ザ</t>
    </rPh>
    <rPh sb="3" eb="4">
      <t>ハバ</t>
    </rPh>
    <phoneticPr fontId="1"/>
  </si>
  <si>
    <t>座ぐり深さ</t>
    <rPh sb="0" eb="3">
      <t>ザ</t>
    </rPh>
    <rPh sb="3" eb="4">
      <t>フカ</t>
    </rPh>
    <phoneticPr fontId="1"/>
  </si>
  <si>
    <t>座ぐり長</t>
    <rPh sb="0" eb="3">
      <t>ザ</t>
    </rPh>
    <rPh sb="3" eb="4">
      <t>チョウ</t>
    </rPh>
    <phoneticPr fontId="1"/>
  </si>
  <si>
    <t>座ぐりコーナーR</t>
    <rPh sb="0" eb="3">
      <t>ザ</t>
    </rPh>
    <phoneticPr fontId="1"/>
  </si>
  <si>
    <t>湾曲外削（0:無, 1:有）</t>
    <rPh sb="0" eb="2">
      <t>ワンキョク</t>
    </rPh>
    <rPh sb="2" eb="4">
      <t>ガイサク</t>
    </rPh>
    <rPh sb="7" eb="8">
      <t>ム</t>
    </rPh>
    <rPh sb="12" eb="13">
      <t>ア</t>
    </rPh>
    <phoneticPr fontId="1"/>
  </si>
  <si>
    <t>加工 湾曲外削 コーナーR 左回り1周</t>
    <rPh sb="3" eb="5">
      <t>ワンキ</t>
    </rPh>
    <phoneticPr fontId="1"/>
  </si>
  <si>
    <t>G54 ボトム湾曲外削</t>
    <rPh sb="7" eb="9">
      <t>ワンキョク</t>
    </rPh>
    <rPh sb="9" eb="11">
      <t>ガイサク</t>
    </rPh>
    <phoneticPr fontId="1"/>
  </si>
  <si>
    <t>測定 通り芯</t>
    <rPh sb="0" eb="2">
      <t>ソクテイ</t>
    </rPh>
    <rPh sb="3" eb="4">
      <t>トオ</t>
    </rPh>
    <rPh sb="5" eb="6">
      <t>シン</t>
    </rPh>
    <phoneticPr fontId="1"/>
  </si>
  <si>
    <t>工具先端テーパ有無（0:無, 1:有）</t>
    <rPh sb="7" eb="9">
      <t>ウム</t>
    </rPh>
    <phoneticPr fontId="1"/>
  </si>
  <si>
    <t>内削AC径</t>
    <rPh sb="0" eb="1">
      <t>ナイ</t>
    </rPh>
    <rPh sb="1" eb="2">
      <t>サク</t>
    </rPh>
    <rPh sb="4" eb="5">
      <t>ケイ</t>
    </rPh>
    <phoneticPr fontId="1"/>
  </si>
  <si>
    <t>内削BD径</t>
    <rPh sb="0" eb="1">
      <t>ナイ</t>
    </rPh>
    <rPh sb="1" eb="2">
      <t>サク</t>
    </rPh>
    <rPh sb="4" eb="5">
      <t>ケイ</t>
    </rPh>
    <phoneticPr fontId="1"/>
  </si>
  <si>
    <t>内削長</t>
    <rPh sb="0" eb="1">
      <t>ナイ</t>
    </rPh>
    <rPh sb="1" eb="2">
      <t>サク</t>
    </rPh>
    <rPh sb="2" eb="3">
      <t>チョウ</t>
    </rPh>
    <phoneticPr fontId="1"/>
  </si>
  <si>
    <t>内削コーナーR</t>
    <rPh sb="0" eb="1">
      <t>ナイ</t>
    </rPh>
    <rPh sb="1" eb="2">
      <t>サク</t>
    </rPh>
    <phoneticPr fontId="1"/>
  </si>
  <si>
    <t>G56 内削</t>
    <rPh sb="4" eb="5">
      <t>ナイ</t>
    </rPh>
    <rPh sb="5" eb="6">
      <t>サク</t>
    </rPh>
    <phoneticPr fontId="1"/>
  </si>
  <si>
    <t>加工 内削 左回り1周</t>
    <rPh sb="3" eb="4">
      <t>ナイ</t>
    </rPh>
    <rPh sb="4" eb="5">
      <t>サク</t>
    </rPh>
    <phoneticPr fontId="1"/>
  </si>
  <si>
    <t>内削AC径</t>
    <rPh sb="0" eb="2">
      <t>ナイ</t>
    </rPh>
    <rPh sb="4" eb="5">
      <t>ケイ</t>
    </rPh>
    <phoneticPr fontId="1"/>
  </si>
  <si>
    <t>内削BD径</t>
    <rPh sb="0" eb="2">
      <t>ナイ</t>
    </rPh>
    <rPh sb="4" eb="5">
      <t>ケイ</t>
    </rPh>
    <phoneticPr fontId="1"/>
  </si>
  <si>
    <t>内削長</t>
    <rPh sb="0" eb="2">
      <t>ナイ</t>
    </rPh>
    <rPh sb="2" eb="3">
      <t>チョウ</t>
    </rPh>
    <phoneticPr fontId="1"/>
  </si>
  <si>
    <t>内削コーナーR</t>
    <rPh sb="0" eb="2">
      <t>ナイ</t>
    </rPh>
    <phoneticPr fontId="1"/>
  </si>
  <si>
    <t>トップ内削の有無</t>
    <rPh sb="3" eb="4">
      <t>ナイ</t>
    </rPh>
    <rPh sb="4" eb="5">
      <t>サク</t>
    </rPh>
    <rPh sb="6" eb="8">
      <t>ウム</t>
    </rPh>
    <phoneticPr fontId="1"/>
  </si>
  <si>
    <t>トップ内削AC径</t>
    <rPh sb="3" eb="4">
      <t>ナイ</t>
    </rPh>
    <rPh sb="4" eb="5">
      <t>サク</t>
    </rPh>
    <rPh sb="7" eb="8">
      <t>ケイ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</si>
  <si>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+f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</si>
  <si>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t>全長</t>
    <rPh sb="0" eb="2">
      <t>ゼンチョウ</t>
    </rPh>
    <phoneticPr fontId="1"/>
  </si>
  <si>
    <t>-公差</t>
    <phoneticPr fontId="1"/>
  </si>
  <si>
    <t>+公差</t>
    <phoneticPr fontId="1"/>
  </si>
  <si>
    <t>図面番号</t>
    <rPh sb="0" eb="4">
      <t>ズメンバn</t>
    </rPh>
    <phoneticPr fontId="1"/>
  </si>
  <si>
    <t>全体</t>
    <rPh sb="0" eb="2">
      <t>ゼンタイ</t>
    </rPh>
    <phoneticPr fontId="1"/>
  </si>
  <si>
    <t>メインプログラム番号</t>
    <rPh sb="8" eb="10">
      <t>バンゴウ</t>
    </rPh>
    <phoneticPr fontId="1"/>
  </si>
  <si>
    <t>制作日</t>
    <rPh sb="0" eb="2">
      <t>セイサク</t>
    </rPh>
    <rPh sb="2" eb="3">
      <t>ビ</t>
    </rPh>
    <phoneticPr fontId="1"/>
  </si>
  <si>
    <t>寸法・数値</t>
    <rPh sb="0" eb="2">
      <t>スンポウ</t>
    </rPh>
    <rPh sb="3" eb="5">
      <t>スウチ</t>
    </rPh>
    <phoneticPr fontId="1"/>
  </si>
  <si>
    <t>ボトム振分長 括弧寸法（0:無, 1:有）</t>
    <rPh sb="3" eb="5">
      <t>フリ</t>
    </rPh>
    <rPh sb="5" eb="6">
      <t>チョウ</t>
    </rPh>
    <rPh sb="7" eb="9">
      <t>カッコ</t>
    </rPh>
    <rPh sb="9" eb="11">
      <t>スンポウ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</si>
  <si>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</si>
  <si>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y</t>
    </r>
    <phoneticPr fontId="1"/>
  </si>
  <si>
    <t>ボトム外削AC径</t>
    <rPh sb="3" eb="4">
      <t>ガイ</t>
    </rPh>
    <rPh sb="4" eb="5">
      <t>サク</t>
    </rPh>
    <rPh sb="7" eb="8">
      <t>ケイ</t>
    </rPh>
    <phoneticPr fontId="1"/>
  </si>
  <si>
    <t>ボトム外削BD径</t>
    <rPh sb="3" eb="4">
      <t>ガイ</t>
    </rPh>
    <rPh sb="4" eb="5">
      <t>サク</t>
    </rPh>
    <rPh sb="7" eb="8">
      <t>ケイ</t>
    </rPh>
    <phoneticPr fontId="1"/>
  </si>
  <si>
    <t>ボトム外削A側肉厚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</si>
  <si>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t>トップ外削AC径</t>
    <rPh sb="3" eb="4">
      <t>ガイ</t>
    </rPh>
    <rPh sb="4" eb="5">
      <t>サク</t>
    </rPh>
    <rPh sb="7" eb="8">
      <t>ケイ</t>
    </rPh>
    <phoneticPr fontId="1"/>
  </si>
  <si>
    <t>トップ外削BD径</t>
    <rPh sb="3" eb="4">
      <t>ガイ</t>
    </rPh>
    <rPh sb="4" eb="5">
      <t>サク</t>
    </rPh>
    <rPh sb="7" eb="8">
      <t>ケイ</t>
    </rPh>
    <phoneticPr fontId="1"/>
  </si>
  <si>
    <t>トップ外削A側肉厚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</si>
  <si>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/Δ'</t>
    </r>
    <phoneticPr fontId="1"/>
  </si>
  <si>
    <t>振分けの不均等（0:無, 1:有）</t>
    <rPh sb="0" eb="2">
      <t>フリワ</t>
    </rPh>
    <rPh sb="4" eb="7">
      <t>フキントウ</t>
    </rPh>
    <phoneticPr fontId="1"/>
  </si>
  <si>
    <t>トップ再振分長（指定）</t>
    <rPh sb="3" eb="4">
      <t>サイ</t>
    </rPh>
    <rPh sb="4" eb="6">
      <t>フリワ</t>
    </rPh>
    <rPh sb="6" eb="7">
      <t>チョウ</t>
    </rPh>
    <rPh sb="8" eb="10">
      <t>シテイ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</si>
  <si>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</si>
  <si>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t>トップ再振分長指定時</t>
    <rPh sb="3" eb="4">
      <t>サイ</t>
    </rPh>
    <rPh sb="4" eb="6">
      <t>フリワケ</t>
    </rPh>
    <rPh sb="6" eb="7">
      <t>チョウ</t>
    </rPh>
    <rPh sb="7" eb="9">
      <t>シテイ</t>
    </rPh>
    <rPh sb="9" eb="10">
      <t>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</si>
  <si>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/Δ'</t>
    </r>
    <phoneticPr fontId="1"/>
  </si>
  <si>
    <t>sinθ</t>
    <phoneticPr fontId="1"/>
  </si>
  <si>
    <t>平行角度(rad)</t>
    <rPh sb="0" eb="2">
      <t>ヘイコウ</t>
    </rPh>
    <rPh sb="2" eb="4">
      <t>カクド</t>
    </rPh>
    <phoneticPr fontId="1"/>
  </si>
  <si>
    <t>平行角度(deg)</t>
    <rPh sb="0" eb="2">
      <t>ヘイコウ</t>
    </rPh>
    <rPh sb="2" eb="4">
      <t>カクド</t>
    </rPh>
    <phoneticPr fontId="1"/>
  </si>
  <si>
    <t>外削用 テーパ付スクエアエンドミル</t>
    <rPh sb="0" eb="2">
      <t>ガイサク</t>
    </rPh>
    <rPh sb="2" eb="3">
      <t>ヨウ</t>
    </rPh>
    <rPh sb="7" eb="8">
      <t>ツ</t>
    </rPh>
    <phoneticPr fontId="1"/>
  </si>
  <si>
    <t>測定用 タッチセンサープローブ Φ10×300</t>
    <rPh sb="0" eb="2">
      <t>ソクテイ</t>
    </rPh>
    <rPh sb="2" eb="3">
      <t>ヨウ</t>
    </rPh>
    <phoneticPr fontId="1"/>
  </si>
  <si>
    <t>受板の幅</t>
    <rPh sb="0" eb="1">
      <t>ウケ</t>
    </rPh>
    <rPh sb="1" eb="2">
      <t>イタ</t>
    </rPh>
    <rPh sb="3" eb="4">
      <t>ハバ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</si>
  <si>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</si>
  <si>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</si>
  <si>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</si>
  <si>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</si>
  <si>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</si>
  <si>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</si>
  <si>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A側溝深さ（指定なし）</t>
    <rPh sb="1" eb="2">
      <t>ガワ</t>
    </rPh>
    <rPh sb="2" eb="3">
      <t>ミゾ</t>
    </rPh>
    <rPh sb="3" eb="4">
      <t>フカ</t>
    </rPh>
    <rPh sb="6" eb="8">
      <t>シテイ</t>
    </rPh>
    <phoneticPr fontId="1"/>
  </si>
  <si>
    <t>C側溝深さ</t>
    <rPh sb="1" eb="2">
      <t>ガワ</t>
    </rPh>
    <rPh sb="2" eb="3">
      <t>ミゾ</t>
    </rPh>
    <rPh sb="3" eb="4">
      <t>フカ</t>
    </rPh>
    <phoneticPr fontId="1"/>
  </si>
  <si>
    <t>B側溝深さ</t>
    <rPh sb="1" eb="2">
      <t>ガワ</t>
    </rPh>
    <rPh sb="2" eb="3">
      <t>ミゾ</t>
    </rPh>
    <rPh sb="3" eb="4">
      <t>フカ</t>
    </rPh>
    <phoneticPr fontId="1"/>
  </si>
  <si>
    <t>D側溝深さ</t>
    <rPh sb="1" eb="2">
      <t>ガワ</t>
    </rPh>
    <rPh sb="2" eb="3">
      <t>ミゾ</t>
    </rPh>
    <rPh sb="3" eb="4">
      <t>フカ</t>
    </rPh>
    <phoneticPr fontId="1"/>
  </si>
  <si>
    <t>トップ端 位置</t>
    <rPh sb="3" eb="4">
      <t>タン</t>
    </rPh>
    <rPh sb="5" eb="7">
      <t>イチ</t>
    </rPh>
    <phoneticPr fontId="1"/>
  </si>
  <si>
    <t>測定 端面 傾き</t>
    <rPh sb="0" eb="2">
      <t>ソクテイ</t>
    </rPh>
    <rPh sb="3" eb="5">
      <t>タンメン</t>
    </rPh>
    <rPh sb="6" eb="7">
      <t>カタム</t>
    </rPh>
    <phoneticPr fontId="1"/>
  </si>
  <si>
    <t>加工 湾曲外削 外面取 コーナーR 左回り1周</t>
    <rPh sb="3" eb="5">
      <t>ワn</t>
    </rPh>
    <rPh sb="5" eb="7">
      <t>ガイ</t>
    </rPh>
    <rPh sb="8" eb="9">
      <t>ソト</t>
    </rPh>
    <rPh sb="9" eb="11">
      <t>メントリ</t>
    </rPh>
    <phoneticPr fontId="1"/>
  </si>
  <si>
    <t>C面取用 テーパエンドミル Φ15°</t>
    <rPh sb="1" eb="3">
      <t>メントリ</t>
    </rPh>
    <rPh sb="3" eb="4">
      <t>ヨウ</t>
    </rPh>
    <phoneticPr fontId="1"/>
  </si>
  <si>
    <t>C面取用 テーパエンドミル Φ30°</t>
    <rPh sb="1" eb="3">
      <t>メントリ</t>
    </rPh>
    <rPh sb="3" eb="4">
      <t>ヨウ</t>
    </rPh>
    <phoneticPr fontId="1"/>
  </si>
  <si>
    <t>C面取用 テーパエンドミル Φ45°</t>
    <rPh sb="1" eb="3">
      <t>メントリ</t>
    </rPh>
    <rPh sb="3" eb="4">
      <t>ヨウ</t>
    </rPh>
    <phoneticPr fontId="1"/>
  </si>
  <si>
    <t>一時停止 確認</t>
    <rPh sb="0" eb="4">
      <t>イチジテイシ</t>
    </rPh>
    <rPh sb="5" eb="7">
      <t>カクニン</t>
    </rPh>
    <phoneticPr fontId="1"/>
  </si>
  <si>
    <t>タッチセンサー 電源ON</t>
    <rPh sb="8" eb="10">
      <t>デンゲン</t>
    </rPh>
    <phoneticPr fontId="1"/>
  </si>
  <si>
    <t>タッチセンサー 電源OFF</t>
    <rPh sb="8" eb="10">
      <t>デンゲン</t>
    </rPh>
    <phoneticPr fontId="1"/>
  </si>
  <si>
    <t>空</t>
    <rPh sb="0" eb="1">
      <t>カラ</t>
    </rPh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</si>
  <si>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tz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</si>
  <si>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sC</t>
    </r>
    <phoneticPr fontId="1"/>
  </si>
  <si>
    <t>C側溝深さ（ボトム側）</t>
    <rPh sb="1" eb="2">
      <t>ガワ</t>
    </rPh>
    <rPh sb="2" eb="3">
      <t>ミゾ</t>
    </rPh>
    <rPh sb="3" eb="4">
      <t>フカ</t>
    </rPh>
    <rPh sb="9" eb="10">
      <t>ガワ</t>
    </rPh>
    <phoneticPr fontId="1"/>
  </si>
  <si>
    <t>種類 (1:R, 2:C, 3:rec, 4:BDonly, 5:octR)</t>
    <rPh sb="0" eb="2">
      <t>シュルイ</t>
    </rPh>
    <phoneticPr fontId="1"/>
  </si>
  <si>
    <r>
      <t>ボトム外削</t>
    </r>
    <r>
      <rPr>
        <sz val="8"/>
        <color theme="1"/>
        <rFont val="メイリオ"/>
        <family val="3"/>
        <charset val="128"/>
      </rPr>
      <t>（0:無, 1:有）</t>
    </r>
    <rPh sb="3" eb="5">
      <t>ガイサク</t>
    </rPh>
    <phoneticPr fontId="1"/>
  </si>
  <si>
    <r>
      <t>トップ外削</t>
    </r>
    <r>
      <rPr>
        <sz val="8"/>
        <color theme="1"/>
        <rFont val="メイリオ"/>
        <family val="3"/>
        <charset val="128"/>
      </rPr>
      <t>（0:無, 1:有）</t>
    </r>
    <rPh sb="3" eb="5">
      <t>ガイサク</t>
    </rPh>
    <phoneticPr fontId="1"/>
  </si>
  <si>
    <r>
      <t>ディンプル</t>
    </r>
    <r>
      <rPr>
        <sz val="8"/>
        <color theme="1"/>
        <rFont val="メイリオ"/>
        <family val="3"/>
        <charset val="128"/>
      </rPr>
      <t>（0:無, 1:有）</t>
    </r>
    <phoneticPr fontId="1"/>
  </si>
  <si>
    <t>ボトム端 外面取</t>
    <rPh sb="3" eb="4">
      <t>ハシ</t>
    </rPh>
    <rPh sb="5" eb="6">
      <t>ソト</t>
    </rPh>
    <rPh sb="6" eb="8">
      <t>メント</t>
    </rPh>
    <phoneticPr fontId="1"/>
  </si>
  <si>
    <t>ボトム 外面取 長さ</t>
    <rPh sb="4" eb="5">
      <t>ソト</t>
    </rPh>
    <rPh sb="5" eb="7">
      <t>メントリ</t>
    </rPh>
    <rPh sb="8" eb="9">
      <t>ナガ</t>
    </rPh>
    <phoneticPr fontId="1"/>
  </si>
  <si>
    <t>種類 (1:C, 2: R)</t>
    <rPh sb="0" eb="2">
      <t>シュルイ</t>
    </rPh>
    <phoneticPr fontId="1"/>
  </si>
  <si>
    <r>
      <t>トップ端 端面座ぐり</t>
    </r>
    <r>
      <rPr>
        <sz val="8"/>
        <color theme="1"/>
        <rFont val="メイリオ"/>
        <family val="3"/>
        <charset val="128"/>
      </rPr>
      <t>（0:無, 1:有）</t>
    </r>
    <rPh sb="3" eb="4">
      <t>ハシ</t>
    </rPh>
    <rPh sb="5" eb="7">
      <t>タンメン</t>
    </rPh>
    <rPh sb="7" eb="8">
      <t>ザ</t>
    </rPh>
    <phoneticPr fontId="1"/>
  </si>
  <si>
    <r>
      <t>トップ端 内削</t>
    </r>
    <r>
      <rPr>
        <sz val="8"/>
        <color theme="1"/>
        <rFont val="メイリオ"/>
        <family val="3"/>
        <charset val="128"/>
      </rPr>
      <t>（0:無, 1:有）</t>
    </r>
    <rPh sb="3" eb="4">
      <t>ハシ</t>
    </rPh>
    <rPh sb="5" eb="6">
      <t>ナイ</t>
    </rPh>
    <rPh sb="6" eb="7">
      <t>サク</t>
    </rPh>
    <phoneticPr fontId="1"/>
  </si>
  <si>
    <t>客先名</t>
    <rPh sb="0" eb="2">
      <t>キャクサキ</t>
    </rPh>
    <rPh sb="2" eb="3">
      <t>メイ</t>
    </rPh>
    <phoneticPr fontId="1"/>
  </si>
  <si>
    <t>振分けスペーサの場合 (MMC)</t>
    <rPh sb="0" eb="3">
      <t>フリ</t>
    </rPh>
    <rPh sb="8" eb="10">
      <t>バアイ</t>
    </rPh>
    <phoneticPr fontId="1"/>
  </si>
  <si>
    <t>振分け調整：テーブル回転の場合 (DMC)</t>
    <rPh sb="0" eb="3">
      <t>h</t>
    </rPh>
    <rPh sb="3" eb="5">
      <t>チョウセイ</t>
    </rPh>
    <rPh sb="10" eb="12">
      <t>カイテン</t>
    </rPh>
    <rPh sb="13" eb="15">
      <t>バアイ</t>
    </rPh>
    <phoneticPr fontId="1"/>
  </si>
  <si>
    <t>ディンプル用 ボールエンドミル R8.0</t>
    <rPh sb="5" eb="6">
      <t>ヨウ</t>
    </rPh>
    <phoneticPr fontId="1"/>
  </si>
  <si>
    <t>Tスロット 小半径</t>
    <rPh sb="6" eb="7">
      <t>ショウ</t>
    </rPh>
    <rPh sb="7" eb="9">
      <t>ハンケイ</t>
    </rPh>
    <phoneticPr fontId="1"/>
  </si>
  <si>
    <t>工具 (1:Tスロット, 2:ボールエンド)</t>
    <rPh sb="0" eb="2">
      <t>コウグ</t>
    </rPh>
    <phoneticPr fontId="1"/>
  </si>
  <si>
    <t>pos</t>
    <phoneticPr fontId="1"/>
  </si>
  <si>
    <t>AC_len</t>
    <phoneticPr fontId="1"/>
  </si>
  <si>
    <t>BD_len</t>
    <phoneticPr fontId="1"/>
  </si>
  <si>
    <t>CR</t>
    <phoneticPr fontId="1"/>
  </si>
  <si>
    <t>ratioAC</t>
    <phoneticPr fontId="1"/>
  </si>
  <si>
    <t>ratioBD</t>
    <phoneticPr fontId="1"/>
  </si>
  <si>
    <t>ratioAve</t>
    <phoneticPr fontId="1"/>
  </si>
  <si>
    <t>ディンプル加工直径</t>
    <rPh sb="5" eb="7">
      <t>カコウ</t>
    </rPh>
    <rPh sb="7" eb="9">
      <t>チョッケイ</t>
    </rPh>
    <phoneticPr fontId="1"/>
  </si>
  <si>
    <t>e1188</t>
    <phoneticPr fontId="1"/>
  </si>
  <si>
    <t>Al Tilal Steel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</si>
</sst>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_ "/>
    <numFmt numFmtId="177" formatCode="0.000_ "/>
    <numFmt numFmtId="178" formatCode="0.0_ "/>
    <numFmt numFmtId="179" formatCode="0_ "/>
    <numFmt numFmtId="180" formatCode="0.000"/>
    <numFmt numFmtId="181" formatCode="0_);[Red]\(0\)"/>
    <numFmt numFmtId="182" formatCode="\+0.000;\-0.000;0.000"/>
    <numFmt numFmtId="183" formatCode="0000_ "/>
    <numFmt numFmtId="184" formatCode="0.00000000_ "/>
  </numFmts>
  <fonts count="12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3"/>
      <charset val="128"/>
    </font>
    <font>
      <vertAlign val="subscript"/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vertAlign val="superscript"/>
      <sz val="8"/>
      <color theme="1"/>
      <name val="メイリオ"/>
      <family val="3"/>
      <charset val="128"/>
    </font>
    <font>
      <b/>
      <vertAlign val="subscript"/>
      <sz val="8"/>
      <color theme="1"/>
      <name val="メイリオ"/>
      <family val="3"/>
      <charset val="128"/>
    </font>
    <font>
      <i/>
      <sz val="8"/>
      <color theme="1"/>
      <name val="メイリオ"/>
      <family val="3"/>
      <charset val="128"/>
    </font>
    <font>
      <sz val="11"/>
      <name val="ＭＳ Ｐ明朝"/>
      <family val="1"/>
      <charset val="128"/>
    </font>
    <font>
      <sz val="10"/>
      <color rgb="FF000000"/>
      <name val="メイリオ"/>
      <family val="3"/>
      <charset val="128"/>
    </font>
    <font>
      <sz val="9"/>
      <color theme="1"/>
      <name val="メイリオ"/>
      <family val="2"/>
      <charset val="128"/>
    </font>
    <font>
      <sz val="9"/>
      <color theme="1"/>
      <name val="メイリオ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8" fillId="0" borderId="0"/>
  </cellStyleXfs>
  <cellXfs count="100">
    <xf numFmtId="0" fontId="0" fillId="0" borderId="0" xfId="0">
      <alignment vertical="center"/>
    </xf>
    <xf numFmtId="0" fontId="2" fillId="0" borderId="0" xfId="0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0" fontId="2" fillId="2" borderId="4" xfId="0" applyFont="1" applyFill="1" applyBorder="1">
      <alignment vertical="center"/>
    </xf>
    <xf numFmtId="177" fontId="2" fillId="2" borderId="4" xfId="0" applyNumberFormat="1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177" fontId="2" fillId="3" borderId="2" xfId="0" applyNumberFormat="1" applyFont="1" applyFill="1" applyBorder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8" xfId="0" applyFont="1" applyFill="1" applyBorder="1">
      <alignment vertical="center"/>
    </xf>
    <xf numFmtId="177" fontId="2" fillId="2" borderId="8" xfId="0" applyNumberFormat="1" applyFont="1" applyFill="1" applyBorder="1">
      <alignment vertical="center"/>
    </xf>
    <xf numFmtId="177" fontId="2" fillId="4" borderId="2" xfId="0" applyNumberFormat="1" applyFont="1" applyFill="1" applyBorder="1" applyAlignment="1">
      <alignment horizontal="center" vertical="center"/>
    </xf>
    <xf numFmtId="0" fontId="2" fillId="0" borderId="9" xfId="0" applyFont="1" applyBorder="1">
      <alignment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7" fontId="2" fillId="0" borderId="9" xfId="0" applyNumberFormat="1" applyFont="1" applyBorder="1">
      <alignment vertical="center"/>
    </xf>
    <xf numFmtId="0" fontId="4" fillId="0" borderId="10" xfId="0" applyFont="1" applyBorder="1">
      <alignment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7" fontId="2" fillId="0" borderId="10" xfId="0" applyNumberFormat="1" applyFont="1" applyBorder="1" applyAlignment="1">
      <alignment horizontal="center" vertical="center"/>
    </xf>
    <xf numFmtId="178" fontId="2" fillId="2" borderId="4" xfId="0" applyNumberFormat="1" applyFont="1" applyFill="1" applyBorder="1">
      <alignment vertical="center"/>
    </xf>
    <xf numFmtId="177" fontId="2" fillId="2" borderId="4" xfId="0" applyNumberFormat="1" applyFont="1" applyFill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2" fillId="3" borderId="7" xfId="0" applyNumberFormat="1" applyFont="1" applyFill="1" applyBorder="1" applyAlignment="1">
      <alignment horizontal="center" vertical="center"/>
    </xf>
    <xf numFmtId="177" fontId="4" fillId="0" borderId="10" xfId="0" applyNumberFormat="1" applyFont="1" applyBorder="1">
      <alignment vertical="center"/>
    </xf>
    <xf numFmtId="177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178" fontId="2" fillId="4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 shrinkToFit="1"/>
    </xf>
    <xf numFmtId="180" fontId="2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177" fontId="2" fillId="0" borderId="0" xfId="0" applyNumberFormat="1" applyFont="1" applyAlignment="1">
      <alignment vertical="center" shrinkToFit="1"/>
    </xf>
    <xf numFmtId="177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>
      <alignment vertical="center"/>
    </xf>
    <xf numFmtId="180" fontId="2" fillId="2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center" vertical="center"/>
    </xf>
    <xf numFmtId="179" fontId="2" fillId="3" borderId="4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81" fontId="2" fillId="4" borderId="7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77" fontId="2" fillId="5" borderId="0" xfId="0" applyNumberFormat="1" applyFont="1" applyFill="1" applyAlignment="1">
      <alignment horizontal="center" vertical="center"/>
    </xf>
    <xf numFmtId="0" fontId="2" fillId="2" borderId="15" xfId="0" applyFon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>
      <alignment vertical="center"/>
    </xf>
    <xf numFmtId="0" fontId="2" fillId="2" borderId="16" xfId="0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182" fontId="2" fillId="0" borderId="0" xfId="0" applyNumberFormat="1" applyFont="1" applyAlignment="1">
      <alignment horizontal="center"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2" fillId="0" borderId="15" xfId="0" applyNumberFormat="1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183" fontId="2" fillId="3" borderId="17" xfId="0" applyNumberFormat="1" applyFont="1" applyFill="1" applyBorder="1" applyAlignment="1">
      <alignment horizontal="center" vertical="center"/>
    </xf>
    <xf numFmtId="179" fontId="2" fillId="3" borderId="17" xfId="0" applyNumberFormat="1" applyFont="1" applyFill="1" applyBorder="1" applyAlignment="1">
      <alignment horizontal="center" vertical="center"/>
    </xf>
    <xf numFmtId="177" fontId="2" fillId="3" borderId="18" xfId="0" applyNumberFormat="1" applyFont="1" applyFill="1" applyBorder="1" applyAlignment="1">
      <alignment horizontal="center" vertical="center"/>
    </xf>
    <xf numFmtId="0" fontId="2" fillId="0" borderId="19" xfId="0" applyFont="1" applyBorder="1">
      <alignment vertical="center"/>
    </xf>
    <xf numFmtId="179" fontId="2" fillId="3" borderId="20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21" xfId="0" applyFont="1" applyBorder="1">
      <alignment vertical="center"/>
    </xf>
    <xf numFmtId="179" fontId="2" fillId="3" borderId="5" xfId="0" applyNumberFormat="1" applyFont="1" applyFill="1" applyBorder="1" applyAlignment="1">
      <alignment horizontal="center" vertical="center"/>
    </xf>
    <xf numFmtId="177" fontId="2" fillId="3" borderId="22" xfId="0" applyNumberFormat="1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177" fontId="2" fillId="6" borderId="7" xfId="0" applyNumberFormat="1" applyFont="1" applyFill="1" applyBorder="1" applyAlignment="1">
      <alignment horizontal="center" vertical="center"/>
    </xf>
    <xf numFmtId="178" fontId="2" fillId="3" borderId="7" xfId="0" applyNumberFormat="1" applyFont="1" applyFill="1" applyBorder="1" applyAlignment="1">
      <alignment horizontal="center" vertical="center"/>
    </xf>
    <xf numFmtId="179" fontId="2" fillId="3" borderId="23" xfId="0" applyNumberFormat="1" applyFont="1" applyFill="1" applyBorder="1" applyAlignment="1">
      <alignment horizontal="center" vertical="center"/>
    </xf>
    <xf numFmtId="0" fontId="4" fillId="0" borderId="16" xfId="0" applyFont="1" applyBorder="1">
      <alignment vertical="center"/>
    </xf>
    <xf numFmtId="0" fontId="4" fillId="0" borderId="4" xfId="0" applyFont="1" applyBorder="1">
      <alignment vertical="center"/>
    </xf>
    <xf numFmtId="179" fontId="2" fillId="0" borderId="0" xfId="0" applyNumberFormat="1" applyFont="1" applyAlignment="1">
      <alignment horizontal="center" vertical="center"/>
    </xf>
    <xf numFmtId="0" fontId="4" fillId="0" borderId="3" xfId="0" applyFont="1" applyBorder="1">
      <alignment vertical="center"/>
    </xf>
    <xf numFmtId="179" fontId="2" fillId="3" borderId="18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left" vertical="center"/>
    </xf>
    <xf numFmtId="177" fontId="2" fillId="3" borderId="7" xfId="0" applyNumberFormat="1" applyFont="1" applyFill="1" applyBorder="1" applyAlignment="1">
      <alignment horizontal="left" vertical="center"/>
    </xf>
    <xf numFmtId="0" fontId="10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176" fontId="11" fillId="0" borderId="0" xfId="0" applyNumberFormat="1" applyFont="1" applyAlignment="1">
      <alignment horizontal="center" vertical="center"/>
    </xf>
    <xf numFmtId="184" fontId="2" fillId="0" borderId="0" xfId="0" applyNumberFormat="1" applyFont="1">
      <alignment vertical="center"/>
    </xf>
    <xf numFmtId="177" fontId="11" fillId="7" borderId="0" xfId="0" applyNumberFormat="1" applyFont="1" applyFill="1" applyAlignment="1">
      <alignment horizontal="center" vertical="center"/>
    </xf>
  </cellXfs>
  <cellStyles count="2">
    <cellStyle name="標準" xfId="0" builtinId="0"/>
    <cellStyle name="標準 2" xfId="1" xr:uid="{4500A0AD-3D4B-4F0D-B77F-6A2EA022C981}"/>
  </cellStyles>
  <dxfs count="986"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</xdr:colOff>
          <xdr:row>1</xdr:row>
          <xdr:rowOff>95250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AFC3-9708-4171-9094-562117598207}">
  <sheetPr codeName="Sheet1"/>
  <dimension ref="A1:AJ359"/>
  <sheetViews>
    <sheetView tabSelected="1" workbookViewId="0">
      <selection activeCell="I15" sqref="I15"/>
    </sheetView>
  </sheetViews>
  <sheetFormatPr defaultRowHeight="14.25" x14ac:dyDescent="0.4"/>
  <cols>
    <col min="1" max="1" width="3" style="3" bestFit="1" customWidth="1"/>
    <col min="2" max="2" width="26.875" style="1" bestFit="1" customWidth="1"/>
    <col min="3" max="3" width="9.5" style="5" bestFit="1" customWidth="1"/>
    <col min="4" max="5" width="9.5" style="71" customWidth="1"/>
    <col min="6" max="6" width="1.625" style="1" customWidth="1"/>
    <col min="7" max="7" width="3.125" style="1" bestFit="1" customWidth="1"/>
    <col min="8" max="8" width="31.375" style="1" bestFit="1" customWidth="1"/>
    <col min="9" max="11" width="9.5" style="1" customWidth="1"/>
    <col min="12" max="12" width="1.625" style="1" customWidth="1"/>
    <col min="13" max="13" width="3" style="1" bestFit="1" customWidth="1"/>
    <col min="14" max="14" width="26.25" style="1" bestFit="1" customWidth="1"/>
    <col min="15" max="17" width="9.5" style="1" customWidth="1"/>
    <col min="18" max="18" width="1.625" style="1" customWidth="1"/>
    <col min="19" max="19" width="3.75" style="1" customWidth="1"/>
    <col min="20" max="20" width="32" style="1" customWidth="1"/>
    <col min="21" max="21" width="9.25" style="1" bestFit="1" customWidth="1"/>
    <col min="22" max="22" width="1.625" style="1" customWidth="1"/>
    <col min="23" max="23" width="4.125" style="3" bestFit="1" customWidth="1"/>
    <col min="24" max="24" width="35.375" style="1" bestFit="1" customWidth="1"/>
    <col min="25" max="25" width="2.375" style="3" bestFit="1" customWidth="1"/>
    <col min="26" max="26" width="12.125" style="3" bestFit="1" customWidth="1"/>
    <col min="27" max="27" width="9.25" style="3" bestFit="1" customWidth="1"/>
    <col min="28" max="28" width="1.625" style="1" customWidth="1"/>
    <col min="29" max="29" width="4.125" style="3" bestFit="1" customWidth="1"/>
    <col min="30" max="30" width="31.375" style="37" bestFit="1" customWidth="1"/>
    <col min="31" max="31" width="30.125" style="45" bestFit="1" customWidth="1"/>
    <col min="32" max="32" width="10.375" style="2" customWidth="1"/>
    <col min="33" max="33" width="1.625" style="1" customWidth="1"/>
    <col min="34" max="34" width="23.125" style="1" customWidth="1"/>
    <col min="35" max="35" width="11.375" style="1" customWidth="1"/>
    <col min="36" max="36" width="8.375" style="1" customWidth="1"/>
    <col min="37" max="16384" width="9" style="1"/>
  </cols>
  <sheetData>
    <row r="1" spans="1:36" ht="15" thickBot="1" x14ac:dyDescent="0.45">
      <c r="B1" s="7"/>
      <c r="C1" s="8" t="s">
        <v>580</v>
      </c>
      <c r="D1" s="73" t="s">
        <v>575</v>
      </c>
      <c r="E1" s="73" t="s">
        <v>574</v>
      </c>
      <c r="H1" s="7"/>
      <c r="I1" s="8" t="s">
        <v>580</v>
      </c>
      <c r="J1" s="73" t="s">
        <v>575</v>
      </c>
      <c r="K1" s="73" t="s">
        <v>574</v>
      </c>
      <c r="N1" s="7"/>
      <c r="O1" s="8" t="s">
        <v>580</v>
      </c>
      <c r="P1" s="73" t="s">
        <v>575</v>
      </c>
      <c r="Q1" s="73" t="s">
        <v>574</v>
      </c>
      <c r="T1" s="7"/>
      <c r="U1" s="8" t="s">
        <v>580</v>
      </c>
      <c r="X1" s="4" t="s">
        <v>577</v>
      </c>
      <c r="AH1" s="4" t="s">
        <v>635</v>
      </c>
      <c r="AI1" s="3"/>
      <c r="AJ1" s="3"/>
    </row>
    <row r="2" spans="1:36" ht="15.75" thickTop="1" thickBot="1" x14ac:dyDescent="0.45">
      <c r="B2" s="74" t="s">
        <v>576</v>
      </c>
      <c r="C2" s="75">
        <v>2507</v>
      </c>
      <c r="G2" s="3"/>
      <c r="H2" s="81" t="s">
        <v>626</v>
      </c>
      <c r="I2" s="82">
        <v>1</v>
      </c>
      <c r="J2" s="71"/>
      <c r="K2" s="71"/>
      <c r="M2" s="3"/>
      <c r="N2" s="88" t="s">
        <v>628</v>
      </c>
      <c r="O2" s="87">
        <v>0</v>
      </c>
      <c r="P2" s="71"/>
      <c r="Q2" s="71"/>
      <c r="S2" s="3"/>
      <c r="T2" s="22" t="s">
        <v>79</v>
      </c>
      <c r="U2" s="25"/>
      <c r="V2" s="71"/>
      <c r="X2" s="9" t="s">
        <v>578</v>
      </c>
      <c r="Y2" s="11" t="s">
        <v>74</v>
      </c>
      <c r="Z2" s="11" t="str">
        <f>"O" &amp; $C$2</f>
        <v>O2507</v>
      </c>
      <c r="AC2" s="3">
        <f t="shared" ref="AC2:AC98" si="0">ROW(AC2)</f>
        <v>2</v>
      </c>
      <c r="AD2" s="5" t="s">
        <v>510</v>
      </c>
      <c r="AE2" s="2" t="s">
        <v>430</v>
      </c>
      <c r="AF2" s="5" t="str">
        <f>IF(LEFT($C$21, 1)="e", "e" &amp; RIGHT("00000" &amp; MID($C$21, 2, LEN($C$21) - 1), 5), RIGHT("00000" &amp; $C$21, 5))</f>
        <v>e01188</v>
      </c>
      <c r="AG2" s="3"/>
      <c r="AH2" s="9" t="s">
        <v>43</v>
      </c>
      <c r="AI2" s="10">
        <f>$Z$4+AF196</f>
        <v>390</v>
      </c>
      <c r="AJ2" s="10">
        <f>U9+AI2</f>
        <v>-759.97399999999993</v>
      </c>
    </row>
    <row r="3" spans="1:36" ht="15" thickTop="1" x14ac:dyDescent="0.4">
      <c r="B3" s="12" t="s">
        <v>634</v>
      </c>
      <c r="C3" s="94" t="s">
        <v>649</v>
      </c>
      <c r="G3" s="3"/>
      <c r="H3" s="78" t="s">
        <v>541</v>
      </c>
      <c r="I3" s="79">
        <v>0</v>
      </c>
      <c r="J3" s="71"/>
      <c r="K3" s="71"/>
      <c r="M3" s="3" t="s">
        <v>82</v>
      </c>
      <c r="N3" s="12" t="s">
        <v>371</v>
      </c>
      <c r="O3" s="13"/>
      <c r="P3" s="71"/>
      <c r="Q3" s="71"/>
      <c r="S3" s="3" t="s">
        <v>0</v>
      </c>
      <c r="T3" s="12" t="s">
        <v>331</v>
      </c>
      <c r="U3" s="17">
        <v>330</v>
      </c>
      <c r="V3" s="71"/>
      <c r="X3" s="9" t="s">
        <v>579</v>
      </c>
      <c r="Y3" s="11" t="s">
        <v>74</v>
      </c>
      <c r="Z3" s="11" t="str">
        <f ca="1">TEXT(TODAY(), "yyyymmdd")</f>
        <v>20241101</v>
      </c>
      <c r="AC3" s="3">
        <f t="shared" si="0"/>
        <v>3</v>
      </c>
      <c r="AD3" s="3" t="s">
        <v>572</v>
      </c>
      <c r="AE3" s="2" t="s">
        <v>573</v>
      </c>
      <c r="AF3" s="36">
        <f>$C$9+($D$9+$E$9)/2</f>
        <v>1000</v>
      </c>
      <c r="AH3" s="9" t="s">
        <v>44</v>
      </c>
      <c r="AI3" s="10">
        <f>$Z$4+$Z$5-AI2</f>
        <v>610</v>
      </c>
      <c r="AJ3" s="10">
        <f>U9+AI3</f>
        <v>-539.97399999999993</v>
      </c>
    </row>
    <row r="4" spans="1:36" x14ac:dyDescent="0.4">
      <c r="C4" s="93"/>
      <c r="G4" s="3"/>
      <c r="H4" s="12" t="s">
        <v>555</v>
      </c>
      <c r="I4" s="56">
        <v>1</v>
      </c>
      <c r="J4" s="71"/>
      <c r="K4" s="71"/>
      <c r="M4" s="3" t="s">
        <v>109</v>
      </c>
      <c r="N4" s="12" t="s">
        <v>372</v>
      </c>
      <c r="O4" s="13"/>
      <c r="P4" s="71"/>
      <c r="Q4" s="71"/>
      <c r="S4" s="3" t="s">
        <v>1</v>
      </c>
      <c r="T4" s="12" t="s">
        <v>601</v>
      </c>
      <c r="U4" s="17">
        <v>40</v>
      </c>
      <c r="V4" s="71"/>
      <c r="W4" s="3" t="s">
        <v>94</v>
      </c>
      <c r="X4" s="9" t="s">
        <v>422</v>
      </c>
      <c r="Y4" s="11" t="s">
        <v>75</v>
      </c>
      <c r="Z4" s="27">
        <f>IF($C$11=0, $C$10+($D$9+$E$9)/4, $C$10)</f>
        <v>390</v>
      </c>
      <c r="AA4" s="27">
        <f>$U$9+$Z$4</f>
        <v>-759.97399999999993</v>
      </c>
      <c r="AC4" s="3">
        <f t="shared" si="0"/>
        <v>4</v>
      </c>
      <c r="AD4" s="37" t="s">
        <v>273</v>
      </c>
      <c r="AE4" s="45" t="s">
        <v>62</v>
      </c>
      <c r="AF4" s="2">
        <f>-RADIANS($Z$13)</f>
        <v>1.5830136315588571E-2</v>
      </c>
      <c r="AH4" s="9" t="s">
        <v>45</v>
      </c>
      <c r="AI4" s="10">
        <f>AI2-U3</f>
        <v>60</v>
      </c>
    </row>
    <row r="5" spans="1:36" ht="15" thickBot="1" x14ac:dyDescent="0.45">
      <c r="B5" s="80" t="s">
        <v>92</v>
      </c>
      <c r="G5" s="3"/>
      <c r="H5" s="12" t="s">
        <v>470</v>
      </c>
      <c r="I5" s="29"/>
      <c r="J5" s="72"/>
      <c r="K5" s="72"/>
      <c r="M5" s="3" t="s">
        <v>110</v>
      </c>
      <c r="N5" s="12" t="s">
        <v>373</v>
      </c>
      <c r="O5" s="13"/>
      <c r="P5" s="71"/>
      <c r="Q5" s="71"/>
      <c r="S5" s="3" t="s">
        <v>2</v>
      </c>
      <c r="T5" s="12" t="s">
        <v>3</v>
      </c>
      <c r="U5" s="17">
        <v>100</v>
      </c>
      <c r="V5" s="71"/>
      <c r="W5" s="3" t="s">
        <v>95</v>
      </c>
      <c r="X5" s="9" t="s">
        <v>406</v>
      </c>
      <c r="Y5" s="11" t="s">
        <v>75</v>
      </c>
      <c r="Z5" s="27">
        <f>$AF$3-$Z$4</f>
        <v>610</v>
      </c>
      <c r="AA5" s="27">
        <f>$U$9+$Z$5</f>
        <v>-539.97399999999993</v>
      </c>
      <c r="AC5" s="3">
        <f t="shared" si="0"/>
        <v>5</v>
      </c>
      <c r="AD5" s="37" t="s">
        <v>274</v>
      </c>
      <c r="AE5" s="45" t="s">
        <v>63</v>
      </c>
      <c r="AF5" s="2">
        <f>ASIN($AF$30)</f>
        <v>1.5828264287151169E-2</v>
      </c>
      <c r="AH5" s="9" t="s">
        <v>46</v>
      </c>
      <c r="AI5" s="10">
        <f>AI3-U3</f>
        <v>280</v>
      </c>
    </row>
    <row r="6" spans="1:36" ht="15" thickTop="1" x14ac:dyDescent="0.4">
      <c r="B6" s="78" t="s">
        <v>474</v>
      </c>
      <c r="C6" s="76">
        <v>1</v>
      </c>
      <c r="G6" s="3"/>
      <c r="H6" s="12" t="s">
        <v>325</v>
      </c>
      <c r="I6" s="29">
        <v>154</v>
      </c>
      <c r="J6" s="72">
        <v>0.1</v>
      </c>
      <c r="K6" s="72">
        <v>-0.1</v>
      </c>
      <c r="M6" s="3" t="s">
        <v>208</v>
      </c>
      <c r="N6" s="12" t="s">
        <v>375</v>
      </c>
      <c r="O6" s="13"/>
      <c r="P6" s="71"/>
      <c r="Q6" s="71"/>
      <c r="S6" s="3" t="s">
        <v>7</v>
      </c>
      <c r="T6" s="12" t="s">
        <v>10</v>
      </c>
      <c r="U6" s="33">
        <v>201.5</v>
      </c>
      <c r="V6" s="71"/>
      <c r="AC6" s="3">
        <f t="shared" si="0"/>
        <v>6</v>
      </c>
      <c r="AD6" s="37" t="s">
        <v>275</v>
      </c>
      <c r="AE6" s="45" t="s">
        <v>138</v>
      </c>
      <c r="AF6" s="98">
        <f>DEGREES($AF$5)</f>
        <v>0.90689274067140857</v>
      </c>
      <c r="AH6" s="15" t="s">
        <v>20</v>
      </c>
      <c r="AI6" s="16">
        <f>AF191-AF192</f>
        <v>10.107469573847993</v>
      </c>
    </row>
    <row r="7" spans="1:36" x14ac:dyDescent="0.4">
      <c r="B7" s="78" t="s">
        <v>591</v>
      </c>
      <c r="C7" s="79">
        <v>0</v>
      </c>
      <c r="G7" s="3"/>
      <c r="H7" s="12" t="s">
        <v>326</v>
      </c>
      <c r="I7" s="29">
        <v>153</v>
      </c>
      <c r="J7" s="72">
        <v>0.1</v>
      </c>
      <c r="K7" s="72">
        <v>-0.1</v>
      </c>
      <c r="M7" s="3" t="s">
        <v>209</v>
      </c>
      <c r="N7" s="12" t="s">
        <v>376</v>
      </c>
      <c r="O7" s="13"/>
      <c r="P7" s="71"/>
      <c r="Q7" s="71"/>
      <c r="S7" s="3"/>
      <c r="T7" s="12" t="s">
        <v>413</v>
      </c>
      <c r="U7" s="33">
        <v>-739.55499999999995</v>
      </c>
      <c r="V7" s="71"/>
      <c r="X7" s="4" t="s">
        <v>636</v>
      </c>
      <c r="Y7" s="6"/>
      <c r="AC7" s="3">
        <f t="shared" si="0"/>
        <v>7</v>
      </c>
      <c r="AD7" s="37" t="s">
        <v>64</v>
      </c>
      <c r="AF7" s="2">
        <f>SIN($AF$4)</f>
        <v>1.5829475169744991E-2</v>
      </c>
      <c r="AH7" s="15" t="s">
        <v>56</v>
      </c>
      <c r="AI7" s="16">
        <f>U7+$AF$17/2</f>
        <v>-662.55499999999995</v>
      </c>
    </row>
    <row r="8" spans="1:36" x14ac:dyDescent="0.4">
      <c r="A8" s="3" t="s">
        <v>93</v>
      </c>
      <c r="B8" s="12" t="s">
        <v>4</v>
      </c>
      <c r="C8" s="29">
        <v>6933.25</v>
      </c>
      <c r="F8" s="2"/>
      <c r="G8" s="3"/>
      <c r="H8" s="12" t="s">
        <v>469</v>
      </c>
      <c r="I8" s="29">
        <v>10</v>
      </c>
      <c r="J8" s="72">
        <v>0</v>
      </c>
      <c r="K8" s="72">
        <v>0</v>
      </c>
      <c r="L8" s="2"/>
      <c r="M8" s="3" t="s">
        <v>86</v>
      </c>
      <c r="N8" s="12" t="s">
        <v>377</v>
      </c>
      <c r="O8" s="51"/>
      <c r="P8" s="71"/>
      <c r="Q8" s="71"/>
      <c r="R8" s="2"/>
      <c r="S8" s="3"/>
      <c r="T8" s="12" t="s">
        <v>16</v>
      </c>
      <c r="U8" s="33">
        <v>-550.01900000000001</v>
      </c>
      <c r="V8" s="71"/>
      <c r="X8" s="4" t="s">
        <v>429</v>
      </c>
      <c r="Y8" s="6"/>
      <c r="Z8" s="37" t="s">
        <v>414</v>
      </c>
      <c r="AA8" s="3" t="s">
        <v>71</v>
      </c>
      <c r="AC8" s="3">
        <f t="shared" si="0"/>
        <v>8</v>
      </c>
      <c r="AD8" s="37" t="s">
        <v>508</v>
      </c>
      <c r="AF8" s="2">
        <f>COS($AF$4)</f>
        <v>0.99987470600863304</v>
      </c>
      <c r="AH8" s="9" t="s">
        <v>47</v>
      </c>
      <c r="AI8" s="10">
        <f>-U6+(AF32+AF33)/2+AI27/2-AF195</f>
        <v>-27.612487171605608</v>
      </c>
      <c r="AJ8" s="10">
        <f t="shared" ref="AJ8:AJ14" si="1">$U$8+AI8</f>
        <v>-577.63148717160561</v>
      </c>
    </row>
    <row r="9" spans="1:36" x14ac:dyDescent="0.4">
      <c r="B9" s="12" t="s">
        <v>573</v>
      </c>
      <c r="C9" s="29">
        <v>1000</v>
      </c>
      <c r="D9" s="72">
        <v>0.5</v>
      </c>
      <c r="E9" s="72">
        <v>-0.5</v>
      </c>
      <c r="F9" s="14"/>
      <c r="G9" s="3"/>
      <c r="H9" s="12" t="s">
        <v>471</v>
      </c>
      <c r="I9" s="29">
        <v>15</v>
      </c>
      <c r="J9" s="71"/>
      <c r="K9" s="71"/>
      <c r="L9" s="14"/>
      <c r="M9" s="3"/>
      <c r="N9" s="12" t="s">
        <v>378</v>
      </c>
      <c r="O9" s="53"/>
      <c r="P9" s="71"/>
      <c r="Q9" s="71"/>
      <c r="R9" s="14"/>
      <c r="S9" s="3"/>
      <c r="T9" s="12" t="s">
        <v>17</v>
      </c>
      <c r="U9" s="33">
        <v>-1149.9739999999999</v>
      </c>
      <c r="V9" s="71"/>
      <c r="W9" s="3" t="s">
        <v>136</v>
      </c>
      <c r="X9" s="9" t="s">
        <v>458</v>
      </c>
      <c r="Y9" s="11" t="s">
        <v>75</v>
      </c>
      <c r="Z9" s="27">
        <f>$Z$4+$AF$29*$AF$7</f>
        <v>500.01300874967268</v>
      </c>
      <c r="AA9" s="27">
        <f>$U$9+$Z$9</f>
        <v>-649.9609912503272</v>
      </c>
      <c r="AC9" s="3">
        <f t="shared" si="0"/>
        <v>9</v>
      </c>
      <c r="AD9" s="3" t="s">
        <v>593</v>
      </c>
      <c r="AE9" s="45" t="s">
        <v>594</v>
      </c>
      <c r="AF9" s="2">
        <f>$C$12-$Z$4</f>
        <v>-390</v>
      </c>
      <c r="AH9" s="9" t="s">
        <v>11</v>
      </c>
      <c r="AI9" s="10">
        <f>-U6+AF31+AI27/2-AF195</f>
        <v>-27.611101025650896</v>
      </c>
      <c r="AJ9" s="10">
        <f t="shared" si="1"/>
        <v>-577.6301010256509</v>
      </c>
    </row>
    <row r="10" spans="1:36" x14ac:dyDescent="0.4">
      <c r="A10" s="3" t="s">
        <v>94</v>
      </c>
      <c r="B10" s="12" t="s">
        <v>5</v>
      </c>
      <c r="C10" s="77">
        <v>390</v>
      </c>
      <c r="G10" s="3"/>
      <c r="H10" s="18"/>
      <c r="I10" s="18"/>
      <c r="J10" s="71"/>
      <c r="K10" s="71"/>
      <c r="M10" s="3"/>
      <c r="N10" s="12" t="s">
        <v>639</v>
      </c>
      <c r="O10" s="51"/>
      <c r="P10" s="71"/>
      <c r="Q10" s="71"/>
      <c r="S10" s="3"/>
      <c r="T10" s="12" t="s">
        <v>41</v>
      </c>
      <c r="U10" s="33">
        <v>7.2999999999999995E-2</v>
      </c>
      <c r="V10" s="71"/>
      <c r="W10" s="3" t="s">
        <v>137</v>
      </c>
      <c r="X10" s="9" t="s">
        <v>459</v>
      </c>
      <c r="Y10" s="11" t="s">
        <v>75</v>
      </c>
      <c r="Z10" s="27">
        <f>$Z$4+$Z$5-$Z$9</f>
        <v>499.98699125032732</v>
      </c>
      <c r="AA10" s="27">
        <f>$U$9+$Z$10</f>
        <v>-649.98700874967267</v>
      </c>
      <c r="AC10" s="3">
        <f t="shared" si="0"/>
        <v>10</v>
      </c>
      <c r="AD10" s="3" t="s">
        <v>595</v>
      </c>
      <c r="AE10" s="45" t="s">
        <v>596</v>
      </c>
      <c r="AF10" s="2">
        <f>$AF$9/$AF$29</f>
        <v>-5.6116048332501542E-2</v>
      </c>
      <c r="AH10" s="9" t="s">
        <v>48</v>
      </c>
      <c r="AI10" s="10">
        <f>U6-(AF35+AF36)/2-AI27/2+AF195</f>
        <v>43.523532418417744</v>
      </c>
      <c r="AJ10" s="10">
        <f t="shared" si="1"/>
        <v>-506.49546758158226</v>
      </c>
    </row>
    <row r="11" spans="1:36" ht="15" thickBot="1" x14ac:dyDescent="0.45">
      <c r="B11" s="12" t="s">
        <v>581</v>
      </c>
      <c r="C11" s="56">
        <v>0</v>
      </c>
      <c r="G11" s="3"/>
      <c r="H11" s="81" t="s">
        <v>627</v>
      </c>
      <c r="I11" s="82">
        <v>1</v>
      </c>
      <c r="J11" s="71"/>
      <c r="K11" s="71"/>
      <c r="M11" s="3"/>
      <c r="N11" s="12" t="s">
        <v>638</v>
      </c>
      <c r="O11" s="59"/>
      <c r="P11" s="71"/>
      <c r="Q11" s="71"/>
      <c r="S11" s="3"/>
      <c r="T11" s="12" t="s">
        <v>317</v>
      </c>
      <c r="U11" s="17">
        <v>257</v>
      </c>
      <c r="V11" s="71"/>
      <c r="X11" s="9" t="s">
        <v>460</v>
      </c>
      <c r="Y11" s="11" t="s">
        <v>75</v>
      </c>
      <c r="Z11" s="27">
        <f>$Z$9-$U$3</f>
        <v>170.01300874967268</v>
      </c>
      <c r="AC11" s="3">
        <f t="shared" si="0"/>
        <v>11</v>
      </c>
      <c r="AD11" s="37" t="s">
        <v>273</v>
      </c>
      <c r="AE11" s="45" t="s">
        <v>597</v>
      </c>
      <c r="AF11" s="2">
        <f>ASIN($AF$10)</f>
        <v>-5.614554181999816E-2</v>
      </c>
      <c r="AH11" s="9" t="s">
        <v>14</v>
      </c>
      <c r="AI11" s="10">
        <f>U6-AF34-AI27/2+AF195</f>
        <v>43.520117834661505</v>
      </c>
      <c r="AJ11" s="10">
        <f t="shared" si="1"/>
        <v>-506.4988821653385</v>
      </c>
    </row>
    <row r="12" spans="1:36" ht="15" thickTop="1" x14ac:dyDescent="0.4">
      <c r="A12" s="3" t="s">
        <v>136</v>
      </c>
      <c r="B12" s="12" t="s">
        <v>592</v>
      </c>
      <c r="C12" s="86"/>
      <c r="G12" s="3"/>
      <c r="H12" s="78" t="s">
        <v>559</v>
      </c>
      <c r="I12" s="79">
        <v>0</v>
      </c>
      <c r="J12" s="71"/>
      <c r="K12" s="71"/>
      <c r="N12" s="12" t="s">
        <v>647</v>
      </c>
      <c r="O12" s="59"/>
      <c r="S12" s="3"/>
      <c r="T12" s="12" t="s">
        <v>318</v>
      </c>
      <c r="U12" s="17">
        <v>247</v>
      </c>
      <c r="V12" s="71"/>
      <c r="X12" s="9" t="s">
        <v>461</v>
      </c>
      <c r="Y12" s="11" t="s">
        <v>75</v>
      </c>
      <c r="Z12" s="42">
        <f>$Z$10-$U$3</f>
        <v>169.98699125032732</v>
      </c>
      <c r="AC12" s="3">
        <f t="shared" si="0"/>
        <v>12</v>
      </c>
      <c r="AD12" s="37" t="s">
        <v>273</v>
      </c>
      <c r="AE12" s="45" t="s">
        <v>598</v>
      </c>
      <c r="AF12" s="2">
        <f>DEGREES($AF$11)</f>
        <v>-3.2169025847611574</v>
      </c>
      <c r="AH12" s="9" t="s">
        <v>55</v>
      </c>
      <c r="AI12" s="10">
        <f>U6-(AF35+AF36)/2-AI27/2+AF195-AI27/2-$AF$20+$AF$18/2</f>
        <v>120.52353241841774</v>
      </c>
      <c r="AJ12" s="10">
        <f t="shared" si="1"/>
        <v>-429.49546758158226</v>
      </c>
    </row>
    <row r="13" spans="1:36" x14ac:dyDescent="0.4">
      <c r="B13" s="18"/>
      <c r="C13" s="19"/>
      <c r="G13" s="3"/>
      <c r="H13" s="12" t="s">
        <v>555</v>
      </c>
      <c r="I13" s="56">
        <v>0</v>
      </c>
      <c r="J13" s="71"/>
      <c r="K13" s="71"/>
      <c r="S13" s="3"/>
      <c r="T13" s="12" t="s">
        <v>391</v>
      </c>
      <c r="U13" s="34">
        <v>8</v>
      </c>
      <c r="V13" s="71"/>
      <c r="W13" s="3" t="s">
        <v>76</v>
      </c>
      <c r="X13" s="9" t="s">
        <v>462</v>
      </c>
      <c r="Y13" s="11" t="s">
        <v>76</v>
      </c>
      <c r="Z13" s="27">
        <f>IF($C$7=1,-ROUND($AF$12,3),-ROUND($AF$6,3))</f>
        <v>-0.90700000000000003</v>
      </c>
      <c r="AA13" s="27">
        <f>-$U$10+$Z$13</f>
        <v>-0.98</v>
      </c>
      <c r="AC13" s="3">
        <f t="shared" si="0"/>
        <v>13</v>
      </c>
      <c r="AD13" s="37" t="s">
        <v>96</v>
      </c>
      <c r="AF13" s="2">
        <f>SQRT($AF$14^2-$AF$15^2)</f>
        <v>6748.3835286681806</v>
      </c>
      <c r="AH13" s="9" t="s">
        <v>51</v>
      </c>
      <c r="AI13" s="10">
        <f>-AI12+I23</f>
        <v>-120.52353241841774</v>
      </c>
      <c r="AJ13" s="10">
        <f t="shared" si="1"/>
        <v>-670.54253241841775</v>
      </c>
    </row>
    <row r="14" spans="1:36" ht="15" thickBot="1" x14ac:dyDescent="0.45">
      <c r="B14" s="80" t="s">
        <v>467</v>
      </c>
      <c r="C14" s="23"/>
      <c r="G14" s="3"/>
      <c r="H14" s="12" t="s">
        <v>535</v>
      </c>
      <c r="I14" s="56">
        <v>0</v>
      </c>
      <c r="J14" s="71"/>
      <c r="K14" s="71"/>
      <c r="W14" s="3" t="s">
        <v>76</v>
      </c>
      <c r="X14" s="9" t="s">
        <v>358</v>
      </c>
      <c r="Y14" s="11" t="s">
        <v>76</v>
      </c>
      <c r="Z14" s="27">
        <f>180+$Z$13</f>
        <v>179.09299999999999</v>
      </c>
      <c r="AA14" s="27">
        <f>-$U$10+$Z$14</f>
        <v>179.01999999999998</v>
      </c>
      <c r="AC14" s="3">
        <f t="shared" si="0"/>
        <v>14</v>
      </c>
      <c r="AD14" s="37" t="s">
        <v>97</v>
      </c>
      <c r="AE14" s="45" t="s">
        <v>13</v>
      </c>
      <c r="AF14" s="2">
        <f>$AF$26-$U$5</f>
        <v>6755.5</v>
      </c>
      <c r="AH14" s="9" t="s">
        <v>52</v>
      </c>
      <c r="AI14" s="10">
        <f>-U6+(AF32+AF33)/2+AI27/2-AF195+AI27/2+$AF$24-$AF$22/2</f>
        <v>-94.612487171605608</v>
      </c>
      <c r="AJ14" s="10">
        <f t="shared" si="1"/>
        <v>-644.63148717160561</v>
      </c>
    </row>
    <row r="15" spans="1:36" ht="15" thickTop="1" x14ac:dyDescent="0.4">
      <c r="B15" s="78" t="s">
        <v>57</v>
      </c>
      <c r="C15" s="13">
        <v>155.5</v>
      </c>
      <c r="D15" s="72">
        <v>0.18</v>
      </c>
      <c r="E15" s="72">
        <v>-0.18</v>
      </c>
      <c r="G15" s="3"/>
      <c r="H15" s="12" t="s">
        <v>346</v>
      </c>
      <c r="I15" s="29">
        <v>10</v>
      </c>
      <c r="J15" s="72">
        <v>0</v>
      </c>
      <c r="K15" s="72">
        <v>0</v>
      </c>
      <c r="M15" s="3"/>
      <c r="N15" s="91" t="s">
        <v>632</v>
      </c>
      <c r="O15" s="92">
        <v>0</v>
      </c>
      <c r="P15" s="71"/>
      <c r="Q15" s="71"/>
      <c r="S15" s="3"/>
      <c r="T15" s="4" t="s">
        <v>347</v>
      </c>
      <c r="U15" s="5"/>
      <c r="V15" s="71"/>
      <c r="X15" s="18"/>
      <c r="Y15" s="20"/>
      <c r="Z15" s="5"/>
      <c r="AC15" s="3">
        <f t="shared" si="0"/>
        <v>15</v>
      </c>
      <c r="AD15" s="37" t="s">
        <v>9</v>
      </c>
      <c r="AE15" s="45" t="s">
        <v>60</v>
      </c>
      <c r="AF15" s="2">
        <f>$U$3-$U$4/2</f>
        <v>310</v>
      </c>
      <c r="AH15" s="10" t="s">
        <v>39</v>
      </c>
      <c r="AI15" s="10">
        <f>AF46-AF31</f>
        <v>0.77455778953481058</v>
      </c>
    </row>
    <row r="16" spans="1:36" x14ac:dyDescent="0.4">
      <c r="B16" s="12" t="s">
        <v>8</v>
      </c>
      <c r="C16" s="13">
        <v>154</v>
      </c>
      <c r="D16" s="72">
        <v>0.18</v>
      </c>
      <c r="E16" s="72">
        <v>-0.18</v>
      </c>
      <c r="G16" s="3"/>
      <c r="H16" s="12" t="s">
        <v>343</v>
      </c>
      <c r="I16" s="29">
        <v>154</v>
      </c>
      <c r="J16" s="72">
        <v>0.1</v>
      </c>
      <c r="K16" s="72">
        <v>-0.1</v>
      </c>
      <c r="M16" s="3"/>
      <c r="N16" s="12" t="s">
        <v>544</v>
      </c>
      <c r="O16" s="29"/>
      <c r="P16" s="71"/>
      <c r="Q16" s="71"/>
      <c r="S16" s="3"/>
      <c r="T16" s="12" t="s">
        <v>621</v>
      </c>
      <c r="U16" s="58">
        <v>1</v>
      </c>
      <c r="V16" s="71"/>
      <c r="X16" s="22" t="s">
        <v>359</v>
      </c>
      <c r="Y16" s="24"/>
      <c r="Z16" s="25"/>
      <c r="AC16" s="3">
        <f t="shared" si="0"/>
        <v>16</v>
      </c>
      <c r="AD16" s="37" t="s">
        <v>582</v>
      </c>
      <c r="AE16" s="45" t="s">
        <v>57</v>
      </c>
      <c r="AF16" s="2">
        <f>$C$15+($D$15+$E$15)/2</f>
        <v>155.5</v>
      </c>
      <c r="AH16" s="10" t="s">
        <v>40</v>
      </c>
      <c r="AI16" s="16">
        <f>$Z$195+$Z$196/2</f>
        <v>14</v>
      </c>
    </row>
    <row r="17" spans="1:36" x14ac:dyDescent="0.4">
      <c r="B17" s="12" t="s">
        <v>466</v>
      </c>
      <c r="C17" s="13">
        <v>15</v>
      </c>
      <c r="G17" s="3"/>
      <c r="H17" s="12" t="s">
        <v>344</v>
      </c>
      <c r="I17" s="29">
        <v>153</v>
      </c>
      <c r="J17" s="72">
        <v>0.1</v>
      </c>
      <c r="K17" s="72">
        <v>-0.1</v>
      </c>
      <c r="M17" s="3"/>
      <c r="N17" s="12" t="s">
        <v>545</v>
      </c>
      <c r="O17" s="29"/>
      <c r="P17" s="71"/>
      <c r="Q17" s="71"/>
      <c r="S17" s="3"/>
      <c r="T17" s="12" t="s">
        <v>348</v>
      </c>
      <c r="U17" s="58">
        <v>2</v>
      </c>
      <c r="V17" s="71"/>
      <c r="W17" s="3" t="s">
        <v>440</v>
      </c>
      <c r="X17" s="9" t="s">
        <v>356</v>
      </c>
      <c r="Y17" s="11" t="s">
        <v>78</v>
      </c>
      <c r="Z17" s="27">
        <f>$AF$29*$AF$8-$AF$38</f>
        <v>42.65275377157559</v>
      </c>
      <c r="AA17" s="27">
        <f>$U$8+$Z$17</f>
        <v>-507.36624622842442</v>
      </c>
      <c r="AC17" s="3">
        <f t="shared" si="0"/>
        <v>17</v>
      </c>
      <c r="AD17" s="37" t="s">
        <v>583</v>
      </c>
      <c r="AE17" s="45" t="s">
        <v>8</v>
      </c>
      <c r="AF17" s="2">
        <f>$C$16+($D$16+$E$16)/2</f>
        <v>154</v>
      </c>
      <c r="AH17" s="10" t="s">
        <v>42</v>
      </c>
      <c r="AI17" s="10">
        <f>AF46-U6+AI27/2-AF195</f>
        <v>-26.836543236116086</v>
      </c>
      <c r="AJ17" s="10">
        <f>$U$8+AI17</f>
        <v>-576.85554323611609</v>
      </c>
    </row>
    <row r="18" spans="1:36" x14ac:dyDescent="0.4">
      <c r="B18" s="18"/>
      <c r="C18" s="19"/>
      <c r="G18" s="3"/>
      <c r="H18" s="12" t="s">
        <v>345</v>
      </c>
      <c r="I18" s="29"/>
      <c r="J18" s="72"/>
      <c r="K18" s="72"/>
      <c r="M18" s="3"/>
      <c r="N18" s="12" t="s">
        <v>546</v>
      </c>
      <c r="O18" s="29"/>
      <c r="P18" s="71"/>
      <c r="Q18" s="71"/>
      <c r="S18" s="3"/>
      <c r="T18" s="12" t="s">
        <v>349</v>
      </c>
      <c r="U18" s="58">
        <v>6</v>
      </c>
      <c r="V18" s="71"/>
      <c r="W18" s="3" t="s">
        <v>440</v>
      </c>
      <c r="X18" s="9" t="s">
        <v>464</v>
      </c>
      <c r="Y18" s="11" t="s">
        <v>78</v>
      </c>
      <c r="Z18" s="27">
        <f ca="1">$Z$17-$AF$61-$AF$116/2-$C$20-$AF$20+$AF$18/2</f>
        <v>52.130828118114259</v>
      </c>
      <c r="AA18" s="27">
        <f ca="1">$U$8+$Z$18</f>
        <v>-497.88817188188574</v>
      </c>
      <c r="AC18" s="3">
        <f t="shared" si="0"/>
        <v>18</v>
      </c>
      <c r="AE18" s="45" t="s">
        <v>584</v>
      </c>
      <c r="AF18" s="2">
        <f>$I$6+($J$6+$K$6)/2</f>
        <v>154</v>
      </c>
      <c r="AH18" s="10" t="s">
        <v>37</v>
      </c>
      <c r="AI18" s="10">
        <f>-AI12+I23</f>
        <v>-120.52353241841774</v>
      </c>
      <c r="AJ18" s="10">
        <f>$U$8+AI18</f>
        <v>-670.54253241841775</v>
      </c>
    </row>
    <row r="19" spans="1:36" x14ac:dyDescent="0.4">
      <c r="B19" s="22" t="s">
        <v>468</v>
      </c>
      <c r="C19" s="25"/>
      <c r="G19" s="3"/>
      <c r="H19" s="12" t="s">
        <v>342</v>
      </c>
      <c r="I19" s="29">
        <v>14</v>
      </c>
      <c r="J19" s="71"/>
      <c r="K19" s="71"/>
      <c r="M19" s="3"/>
      <c r="N19" s="12" t="s">
        <v>547</v>
      </c>
      <c r="O19" s="29"/>
      <c r="P19" s="71"/>
      <c r="Q19" s="71"/>
      <c r="S19" s="3"/>
      <c r="T19" s="12" t="s">
        <v>350</v>
      </c>
      <c r="U19" s="58">
        <v>8</v>
      </c>
      <c r="V19" s="71"/>
      <c r="W19" s="3" t="s">
        <v>440</v>
      </c>
      <c r="X19" s="9" t="s">
        <v>465</v>
      </c>
      <c r="Y19" s="11" t="s">
        <v>78</v>
      </c>
      <c r="Z19" s="27">
        <f ca="1">$Z$23+$I$23</f>
        <v>-25.893586878498162</v>
      </c>
      <c r="AA19" s="27">
        <f ca="1">$U$8+$Z$23</f>
        <v>-575.91258687849813</v>
      </c>
      <c r="AC19" s="3">
        <f t="shared" si="0"/>
        <v>19</v>
      </c>
      <c r="AE19" s="45" t="s">
        <v>585</v>
      </c>
      <c r="AF19" s="2">
        <f>$I$7+($J$7+$K$7)/2</f>
        <v>153</v>
      </c>
      <c r="AH19" s="10" t="s">
        <v>36</v>
      </c>
      <c r="AI19" s="10" t="e">
        <f>AF47-$Z$106-$Z$186/2+AF197-AF29</f>
        <v>#VALUE!</v>
      </c>
      <c r="AJ19" s="10" t="e">
        <f>$U$8+AI19</f>
        <v>#VALUE!</v>
      </c>
    </row>
    <row r="20" spans="1:36" x14ac:dyDescent="0.4">
      <c r="A20" s="3" t="s">
        <v>132</v>
      </c>
      <c r="B20" s="12" t="s">
        <v>15</v>
      </c>
      <c r="C20" s="13">
        <v>7.0000000000000007E-2</v>
      </c>
      <c r="G20" s="3"/>
      <c r="I20" s="5"/>
      <c r="J20" s="71"/>
      <c r="K20" s="71"/>
      <c r="M20" s="3"/>
      <c r="N20" s="12" t="s">
        <v>548</v>
      </c>
      <c r="O20" s="29"/>
      <c r="P20" s="71"/>
      <c r="Q20" s="71"/>
      <c r="S20" s="3"/>
      <c r="T20" s="12" t="s">
        <v>615</v>
      </c>
      <c r="U20" s="58">
        <v>11</v>
      </c>
      <c r="V20" s="71"/>
      <c r="W20" s="3" t="s">
        <v>442</v>
      </c>
      <c r="X20" s="9" t="s">
        <v>338</v>
      </c>
      <c r="Y20" s="11" t="s">
        <v>78</v>
      </c>
      <c r="Z20" s="27">
        <f>$AF$29*$AF$8-$AF$34</f>
        <v>42.649339187819351</v>
      </c>
      <c r="AA20" s="27">
        <f>$U$8+$Z$20</f>
        <v>-507.36966081218065</v>
      </c>
      <c r="AC20" s="3">
        <f t="shared" si="0"/>
        <v>20</v>
      </c>
      <c r="AE20" s="45" t="s">
        <v>586</v>
      </c>
      <c r="AF20" s="2">
        <f>$I$5+($J$5+$K$5)/2</f>
        <v>0</v>
      </c>
      <c r="AH20" s="10" t="s">
        <v>38</v>
      </c>
      <c r="AI20" s="10">
        <f>AI3-AI16</f>
        <v>596</v>
      </c>
      <c r="AJ20" s="10">
        <f>U9+AI20</f>
        <v>-553.97399999999993</v>
      </c>
    </row>
    <row r="21" spans="1:36" x14ac:dyDescent="0.4">
      <c r="B21" s="12" t="s">
        <v>133</v>
      </c>
      <c r="C21" s="35" t="s">
        <v>648</v>
      </c>
      <c r="D21" s="72">
        <v>0.25</v>
      </c>
      <c r="E21" s="72">
        <v>-0.25</v>
      </c>
      <c r="G21" s="3"/>
      <c r="H21" s="89" t="s">
        <v>73</v>
      </c>
      <c r="I21" s="5"/>
      <c r="J21" s="71"/>
      <c r="K21" s="71"/>
      <c r="S21" s="3"/>
      <c r="T21" s="12" t="s">
        <v>616</v>
      </c>
      <c r="U21" s="58">
        <v>12</v>
      </c>
      <c r="V21" s="71"/>
      <c r="W21" s="3" t="s">
        <v>443</v>
      </c>
      <c r="X21" s="9" t="s">
        <v>357</v>
      </c>
      <c r="Y21" s="11" t="s">
        <v>78</v>
      </c>
      <c r="Z21" s="27">
        <f>$AF$37-$AF$29*$AF$8</f>
        <v>-26.741708524763453</v>
      </c>
      <c r="AA21" s="27">
        <f>$U$8+$Z$21</f>
        <v>-576.76070852476346</v>
      </c>
      <c r="AC21" s="3">
        <f t="shared" si="0"/>
        <v>21</v>
      </c>
      <c r="AE21" s="45" t="s">
        <v>469</v>
      </c>
      <c r="AF21" s="2">
        <f>$I$8+($J$8+$K$8)/2</f>
        <v>10</v>
      </c>
      <c r="AH21" s="10" t="s">
        <v>368</v>
      </c>
      <c r="AI21" s="26" t="e">
        <f>$O$6/$O$5+1</f>
        <v>#DIV/0!</v>
      </c>
    </row>
    <row r="22" spans="1:36" x14ac:dyDescent="0.4">
      <c r="B22" s="84" t="s">
        <v>612</v>
      </c>
      <c r="C22" s="85">
        <v>0</v>
      </c>
      <c r="G22" s="3"/>
      <c r="H22" s="12" t="s">
        <v>332</v>
      </c>
      <c r="I22" s="51"/>
      <c r="J22" s="71"/>
      <c r="K22" s="71"/>
      <c r="M22" s="3"/>
      <c r="N22" s="91" t="s">
        <v>633</v>
      </c>
      <c r="O22" s="92">
        <v>0</v>
      </c>
      <c r="P22" s="71"/>
      <c r="Q22" s="71"/>
      <c r="S22" s="3"/>
      <c r="T22" s="12" t="s">
        <v>617</v>
      </c>
      <c r="U22" s="58">
        <v>13</v>
      </c>
      <c r="V22" s="71"/>
      <c r="W22" s="3" t="s">
        <v>443</v>
      </c>
      <c r="X22" s="9" t="str">
        <f>"G56 トップ外削中心（ボトム基準）" &amp; IF($I$2&lt;&gt;0, "&amp; G58 溝中心", "")</f>
        <v>G56 トップ外削中心（ボトム基準）&amp; G58 溝中心</v>
      </c>
      <c r="Y22" s="11" t="s">
        <v>78</v>
      </c>
      <c r="Z22" s="27">
        <f ca="1">-$Z$18+$I$23</f>
        <v>-52.130828118114259</v>
      </c>
      <c r="AA22" s="27">
        <f ca="1">$U$8+$Z$22</f>
        <v>-602.14982811811421</v>
      </c>
      <c r="AC22" s="3">
        <f t="shared" si="0"/>
        <v>22</v>
      </c>
      <c r="AE22" s="45" t="s">
        <v>587</v>
      </c>
      <c r="AF22" s="2">
        <f>$I$16+($J$16+$K$16)/2</f>
        <v>154</v>
      </c>
      <c r="AH22" s="10" t="s">
        <v>369</v>
      </c>
      <c r="AI22" s="26" t="e">
        <f>$O$7/$O$5+1</f>
        <v>#DIV/0!</v>
      </c>
    </row>
    <row r="23" spans="1:36" x14ac:dyDescent="0.4">
      <c r="G23" s="3"/>
      <c r="H23" s="12" t="s">
        <v>506</v>
      </c>
      <c r="I23" s="29"/>
      <c r="J23" s="72"/>
      <c r="K23" s="72"/>
      <c r="M23" s="3"/>
      <c r="N23" s="12" t="s">
        <v>560</v>
      </c>
      <c r="O23" s="29"/>
      <c r="P23" s="71"/>
      <c r="Q23" s="71"/>
      <c r="S23" s="3"/>
      <c r="T23" s="12" t="s">
        <v>351</v>
      </c>
      <c r="U23" s="58">
        <v>16</v>
      </c>
      <c r="V23" s="71"/>
      <c r="W23" s="3" t="s">
        <v>443</v>
      </c>
      <c r="X23" s="9" t="str">
        <f>"G56 トップ外削中心（トップ基準）" &amp; IF($I$11&lt;&gt;0, "&amp; G58 溝中心", "")</f>
        <v>G56 トップ外削中心（トップ基準）&amp; G58 溝中心</v>
      </c>
      <c r="Y23" s="11" t="s">
        <v>78</v>
      </c>
      <c r="Z23" s="27">
        <f ca="1">$Z$21+$AF$64+$AF$113/2+$C$20+$AF$24-$AF$22/2</f>
        <v>-25.893586878498162</v>
      </c>
      <c r="AA23" s="27">
        <f ca="1">$U$8+$Z$23</f>
        <v>-575.91258687849813</v>
      </c>
      <c r="AC23" s="3">
        <f t="shared" si="0"/>
        <v>23</v>
      </c>
      <c r="AE23" s="45" t="s">
        <v>588</v>
      </c>
      <c r="AF23" s="2">
        <f>$I$17+($J$17+$K$17)/2</f>
        <v>153</v>
      </c>
      <c r="AH23" s="10" t="s">
        <v>370</v>
      </c>
      <c r="AI23" s="10" t="e">
        <f>DEGREES($AF$89)</f>
        <v>#VALUE!</v>
      </c>
    </row>
    <row r="24" spans="1:36" x14ac:dyDescent="0.4">
      <c r="M24" s="3"/>
      <c r="N24" s="12" t="s">
        <v>561</v>
      </c>
      <c r="O24" s="29"/>
      <c r="P24" s="71"/>
      <c r="Q24" s="71"/>
      <c r="S24" s="3"/>
      <c r="T24" s="12" t="s">
        <v>599</v>
      </c>
      <c r="U24" s="58"/>
      <c r="V24" s="71"/>
      <c r="W24" s="3" t="s">
        <v>444</v>
      </c>
      <c r="X24" s="9" t="s">
        <v>339</v>
      </c>
      <c r="Y24" s="11" t="s">
        <v>78</v>
      </c>
      <c r="Z24" s="27">
        <f>$AF$31-$AF$29*$AF$8</f>
        <v>-26.740322378808742</v>
      </c>
      <c r="AA24" s="27">
        <f>$U$8+$Z$24</f>
        <v>-576.75932237880875</v>
      </c>
      <c r="AC24" s="3">
        <f t="shared" si="0"/>
        <v>24</v>
      </c>
      <c r="AE24" s="45" t="s">
        <v>589</v>
      </c>
      <c r="AF24" s="2">
        <f>$I$15+($J$15+$K$15)/2</f>
        <v>10</v>
      </c>
      <c r="AH24" s="10" t="s">
        <v>53</v>
      </c>
      <c r="AI24" s="10" t="e">
        <f>AI9*$AF$136+AI2*$AF$97</f>
        <v>#VALUE!</v>
      </c>
    </row>
    <row r="25" spans="1:36" x14ac:dyDescent="0.4">
      <c r="H25" s="89" t="s">
        <v>72</v>
      </c>
      <c r="M25" s="3"/>
      <c r="N25" s="12" t="s">
        <v>562</v>
      </c>
      <c r="O25" s="29"/>
      <c r="P25" s="71"/>
      <c r="Q25" s="71"/>
      <c r="S25" s="3"/>
      <c r="T25" s="12" t="s">
        <v>352</v>
      </c>
      <c r="U25" s="58">
        <v>31</v>
      </c>
      <c r="V25" s="71"/>
      <c r="W25" s="3" t="s">
        <v>509</v>
      </c>
      <c r="X25" s="10" t="s">
        <v>538</v>
      </c>
      <c r="Y25" s="27" t="s">
        <v>78</v>
      </c>
      <c r="Z25" s="27" t="e">
        <f>$AF$47-$AF$57-$Z$186/2-$AF$29*$AF$8</f>
        <v>#VALUE!</v>
      </c>
      <c r="AA25" s="27" t="e">
        <f>$U$8+$Z$25</f>
        <v>#VALUE!</v>
      </c>
      <c r="AC25" s="3">
        <f t="shared" si="0"/>
        <v>25</v>
      </c>
      <c r="AE25" s="45" t="s">
        <v>345</v>
      </c>
      <c r="AF25" s="2">
        <f>$I$18+($J$18+$K$18)/2</f>
        <v>0</v>
      </c>
      <c r="AH25" s="10" t="s">
        <v>54</v>
      </c>
      <c r="AI25" s="10" t="e">
        <f>-AI$9*$AF$97+AI$2*$AF$136</f>
        <v>#VALUE!</v>
      </c>
    </row>
    <row r="26" spans="1:36" x14ac:dyDescent="0.4">
      <c r="G26" s="3"/>
      <c r="H26" s="12" t="s">
        <v>625</v>
      </c>
      <c r="I26" s="52">
        <v>4</v>
      </c>
      <c r="J26" s="71"/>
      <c r="K26" s="71"/>
      <c r="M26" s="3"/>
      <c r="N26" s="12" t="s">
        <v>563</v>
      </c>
      <c r="O26" s="29"/>
      <c r="P26" s="71"/>
      <c r="Q26" s="71"/>
      <c r="S26" s="3"/>
      <c r="T26" s="12" t="s">
        <v>353</v>
      </c>
      <c r="U26" s="58">
        <v>32</v>
      </c>
      <c r="V26" s="71"/>
      <c r="W26" s="3" t="s">
        <v>509</v>
      </c>
      <c r="X26" s="10" t="s">
        <v>520</v>
      </c>
      <c r="Y26" s="27" t="s">
        <v>78</v>
      </c>
      <c r="Z26" s="27">
        <f>$Z$24+$AF$45</f>
        <v>-25.965764589273931</v>
      </c>
      <c r="AA26" s="27">
        <f>$U$8+$Z$26</f>
        <v>-575.98476458927394</v>
      </c>
      <c r="AC26" s="3">
        <f t="shared" si="0"/>
        <v>26</v>
      </c>
      <c r="AD26" s="37" t="s">
        <v>98</v>
      </c>
      <c r="AE26" s="45" t="s">
        <v>6</v>
      </c>
      <c r="AF26" s="2">
        <f>$C$8-$AF$16/2</f>
        <v>6855.5</v>
      </c>
    </row>
    <row r="27" spans="1:36" x14ac:dyDescent="0.4">
      <c r="G27" s="3"/>
      <c r="H27" s="12" t="s">
        <v>539</v>
      </c>
      <c r="I27" s="52">
        <v>0</v>
      </c>
      <c r="J27" s="71"/>
      <c r="K27" s="71"/>
      <c r="S27" s="3"/>
      <c r="T27" s="12" t="s">
        <v>354</v>
      </c>
      <c r="U27" s="58">
        <v>33</v>
      </c>
      <c r="V27" s="71"/>
      <c r="W27" s="3" t="s">
        <v>441</v>
      </c>
      <c r="X27" s="9" t="s">
        <v>8</v>
      </c>
      <c r="Y27" s="11" t="s">
        <v>77</v>
      </c>
      <c r="Z27" s="27">
        <f>$AF$17</f>
        <v>154</v>
      </c>
      <c r="AA27" s="44"/>
      <c r="AC27" s="3">
        <f t="shared" si="0"/>
        <v>27</v>
      </c>
      <c r="AD27" s="37" t="s">
        <v>99</v>
      </c>
      <c r="AE27" s="45" t="s">
        <v>12</v>
      </c>
      <c r="AF27" s="2">
        <f>$C$8+$AF$16/2</f>
        <v>7011</v>
      </c>
      <c r="AH27" s="2"/>
      <c r="AI27" s="1">
        <v>0</v>
      </c>
    </row>
    <row r="28" spans="1:36" x14ac:dyDescent="0.4">
      <c r="G28" s="3"/>
      <c r="H28" s="12" t="s">
        <v>32</v>
      </c>
      <c r="I28" s="13"/>
      <c r="J28" s="72"/>
      <c r="K28" s="72"/>
      <c r="S28" s="3"/>
      <c r="T28" s="12" t="s">
        <v>637</v>
      </c>
      <c r="U28" s="58">
        <v>34</v>
      </c>
      <c r="V28" s="71"/>
      <c r="Z28" s="5"/>
      <c r="AA28" s="5"/>
      <c r="AC28" s="3">
        <f t="shared" si="0"/>
        <v>28</v>
      </c>
      <c r="AD28" s="37" t="s">
        <v>100</v>
      </c>
      <c r="AE28" s="45" t="s">
        <v>277</v>
      </c>
      <c r="AF28" s="2">
        <f>($Z$5-$Z$4)/2</f>
        <v>110</v>
      </c>
      <c r="AH28" s="2"/>
    </row>
    <row r="29" spans="1:36" x14ac:dyDescent="0.4">
      <c r="G29" s="3"/>
      <c r="H29" s="12" t="s">
        <v>438</v>
      </c>
      <c r="I29" s="13">
        <v>145</v>
      </c>
      <c r="J29" s="72">
        <v>0</v>
      </c>
      <c r="K29" s="72">
        <v>-0.2</v>
      </c>
      <c r="S29" s="3"/>
      <c r="T29" s="12" t="s">
        <v>355</v>
      </c>
      <c r="U29" s="58">
        <v>41</v>
      </c>
      <c r="V29" s="71"/>
      <c r="X29" s="22" t="s">
        <v>409</v>
      </c>
      <c r="Y29" s="24"/>
      <c r="Z29" s="25"/>
      <c r="AC29" s="3">
        <f t="shared" si="0"/>
        <v>29</v>
      </c>
      <c r="AD29" s="37" t="s">
        <v>61</v>
      </c>
      <c r="AE29" s="45" t="s">
        <v>70</v>
      </c>
      <c r="AF29" s="2">
        <f>$U$6+$AF$13</f>
        <v>6949.8835286681806</v>
      </c>
    </row>
    <row r="30" spans="1:36" x14ac:dyDescent="0.4">
      <c r="G30" s="3" t="s">
        <v>301</v>
      </c>
      <c r="H30" s="12" t="s">
        <v>30</v>
      </c>
      <c r="I30" s="13">
        <v>10</v>
      </c>
      <c r="J30" s="72">
        <v>0.1</v>
      </c>
      <c r="K30" s="72">
        <v>-0.1</v>
      </c>
      <c r="S30" s="3"/>
      <c r="T30" s="12" t="s">
        <v>600</v>
      </c>
      <c r="U30" s="58">
        <v>50</v>
      </c>
      <c r="V30" s="71"/>
      <c r="W30" s="3" t="s">
        <v>463</v>
      </c>
      <c r="X30" s="9" t="s">
        <v>360</v>
      </c>
      <c r="Y30" s="11" t="s">
        <v>74</v>
      </c>
      <c r="Z30" s="57">
        <f>IF(OR($I$2=0, AND($I$2=1, $I$22=2), AND($I$2=1, $I$4=1)), $U$33, $U$38)</f>
        <v>110001</v>
      </c>
      <c r="AC30" s="3">
        <f t="shared" si="0"/>
        <v>30</v>
      </c>
      <c r="AD30" s="37" t="s">
        <v>590</v>
      </c>
      <c r="AE30" s="45" t="s">
        <v>64</v>
      </c>
      <c r="AF30" s="2">
        <f>$AF$28/$AF$29</f>
        <v>1.5827603375833769E-2</v>
      </c>
    </row>
    <row r="31" spans="1:36" x14ac:dyDescent="0.4">
      <c r="G31" s="3" t="s">
        <v>302</v>
      </c>
      <c r="H31" s="12" t="s">
        <v>31</v>
      </c>
      <c r="I31" s="13">
        <v>8</v>
      </c>
      <c r="J31" s="72">
        <v>0.1</v>
      </c>
      <c r="K31" s="72">
        <v>-0.1</v>
      </c>
      <c r="W31" s="3" t="s">
        <v>78</v>
      </c>
      <c r="X31" s="9" t="s">
        <v>57</v>
      </c>
      <c r="Y31" s="11" t="s">
        <v>78</v>
      </c>
      <c r="Z31" s="27">
        <f>$AF$16</f>
        <v>155.5</v>
      </c>
      <c r="AC31" s="3">
        <f t="shared" si="0"/>
        <v>31</v>
      </c>
      <c r="AD31" s="37" t="s">
        <v>101</v>
      </c>
      <c r="AE31" s="45" t="s">
        <v>24</v>
      </c>
      <c r="AF31" s="2">
        <f>SQRT($C$8^2-$Z$4^2)</f>
        <v>6922.2724276425297</v>
      </c>
    </row>
    <row r="32" spans="1:36" x14ac:dyDescent="0.4">
      <c r="G32" s="3" t="s">
        <v>312</v>
      </c>
      <c r="H32" s="12" t="s">
        <v>540</v>
      </c>
      <c r="I32" s="29"/>
      <c r="J32" s="72"/>
      <c r="K32" s="72"/>
      <c r="S32" s="3"/>
      <c r="T32" s="4" t="s">
        <v>360</v>
      </c>
      <c r="U32" s="5"/>
      <c r="V32" s="71"/>
      <c r="W32" s="3" t="s">
        <v>78</v>
      </c>
      <c r="X32" s="9" t="s">
        <v>408</v>
      </c>
      <c r="Y32" s="11" t="s">
        <v>78</v>
      </c>
      <c r="Z32" s="27">
        <f>$AF$18</f>
        <v>154</v>
      </c>
      <c r="AC32" s="3">
        <f t="shared" si="0"/>
        <v>32</v>
      </c>
      <c r="AD32" s="37" t="s">
        <v>102</v>
      </c>
      <c r="AE32" s="45" t="s">
        <v>25</v>
      </c>
      <c r="AF32" s="2">
        <f>SQRT($AF$27^2-$Z$4^2)</f>
        <v>7000.1443556543891</v>
      </c>
    </row>
    <row r="33" spans="6:34" x14ac:dyDescent="0.4">
      <c r="G33" s="3"/>
      <c r="H33" s="12" t="s">
        <v>608</v>
      </c>
      <c r="I33" s="29"/>
      <c r="J33" s="71"/>
      <c r="K33" s="71"/>
      <c r="S33" s="3"/>
      <c r="T33" s="12" t="s">
        <v>361</v>
      </c>
      <c r="U33" s="58">
        <v>110001</v>
      </c>
      <c r="V33" s="71"/>
      <c r="W33" s="3" t="s">
        <v>450</v>
      </c>
      <c r="X33" s="9" t="s">
        <v>83</v>
      </c>
      <c r="Y33" s="11" t="s">
        <v>78</v>
      </c>
      <c r="Z33" s="27">
        <f ca="1">$AF$116</f>
        <v>133.5</v>
      </c>
      <c r="AC33" s="3">
        <f t="shared" si="0"/>
        <v>33</v>
      </c>
      <c r="AD33" s="37" t="s">
        <v>103</v>
      </c>
      <c r="AE33" s="45" t="s">
        <v>26</v>
      </c>
      <c r="AF33" s="2">
        <f>SQRT($AF$26^2-$Z$4^2)</f>
        <v>6844.3977273387609</v>
      </c>
    </row>
    <row r="34" spans="6:34" x14ac:dyDescent="0.4">
      <c r="G34" s="3"/>
      <c r="H34" s="12" t="s">
        <v>610</v>
      </c>
      <c r="I34" s="29">
        <v>4.5</v>
      </c>
      <c r="J34" s="71"/>
      <c r="K34" s="71"/>
      <c r="S34" s="3"/>
      <c r="T34" s="12" t="s">
        <v>362</v>
      </c>
      <c r="U34" s="58">
        <v>110002</v>
      </c>
      <c r="V34" s="71"/>
      <c r="W34" s="3" t="s">
        <v>75</v>
      </c>
      <c r="X34" s="9" t="s">
        <v>407</v>
      </c>
      <c r="Y34" s="11" t="s">
        <v>75</v>
      </c>
      <c r="Z34" s="27">
        <f>$Z$10</f>
        <v>499.98699125032732</v>
      </c>
      <c r="AA34" s="27">
        <f>$U$9+$Z$34</f>
        <v>-649.98700874967267</v>
      </c>
      <c r="AC34" s="3">
        <f t="shared" si="0"/>
        <v>34</v>
      </c>
      <c r="AD34" s="37" t="s">
        <v>104</v>
      </c>
      <c r="AE34" s="45" t="s">
        <v>27</v>
      </c>
      <c r="AF34" s="2">
        <f>SQRT($C$8^2-$Z$5^2)</f>
        <v>6906.3634108335191</v>
      </c>
    </row>
    <row r="35" spans="6:34" x14ac:dyDescent="0.4">
      <c r="G35" s="3"/>
      <c r="H35" s="12" t="s">
        <v>609</v>
      </c>
      <c r="I35" s="29"/>
      <c r="J35" s="71"/>
      <c r="K35" s="71"/>
      <c r="S35" s="3"/>
      <c r="T35" s="12" t="s">
        <v>363</v>
      </c>
      <c r="U35" s="58">
        <v>120001</v>
      </c>
      <c r="V35" s="71"/>
      <c r="W35" s="3" t="s">
        <v>445</v>
      </c>
      <c r="X35" s="9" t="s">
        <v>406</v>
      </c>
      <c r="Y35" s="11" t="s">
        <v>75</v>
      </c>
      <c r="Z35" s="27">
        <f>$Z$5</f>
        <v>610</v>
      </c>
      <c r="AA35" s="44"/>
      <c r="AC35" s="3">
        <f t="shared" si="0"/>
        <v>35</v>
      </c>
      <c r="AD35" s="37" t="s">
        <v>105</v>
      </c>
      <c r="AE35" s="45" t="s">
        <v>28</v>
      </c>
      <c r="AF35" s="2">
        <f>SQRT($AF$27^2-$Z$5^2)</f>
        <v>6984.4127169003978</v>
      </c>
    </row>
    <row r="36" spans="6:34" x14ac:dyDescent="0.4">
      <c r="G36" s="3"/>
      <c r="H36" s="12" t="s">
        <v>611</v>
      </c>
      <c r="I36" s="29">
        <v>4.5</v>
      </c>
      <c r="J36" s="71"/>
      <c r="K36" s="71"/>
      <c r="S36" s="3"/>
      <c r="T36" s="12" t="s">
        <v>364</v>
      </c>
      <c r="U36" s="58">
        <v>130001</v>
      </c>
      <c r="V36" s="71"/>
      <c r="W36" s="3" t="s">
        <v>446</v>
      </c>
      <c r="X36" s="9" t="s">
        <v>410</v>
      </c>
      <c r="Y36" s="11" t="s">
        <v>78</v>
      </c>
      <c r="Z36" s="27">
        <f>$AF$20</f>
        <v>0</v>
      </c>
      <c r="AC36" s="3">
        <f t="shared" si="0"/>
        <v>36</v>
      </c>
      <c r="AD36" s="37" t="s">
        <v>106</v>
      </c>
      <c r="AE36" s="45" t="s">
        <v>29</v>
      </c>
      <c r="AF36" s="2">
        <f>SQRT($AF$26^2-$Z$5^2)</f>
        <v>6828.3072755991288</v>
      </c>
    </row>
    <row r="37" spans="6:34" x14ac:dyDescent="0.4">
      <c r="G37" s="3"/>
      <c r="H37" s="12" t="s">
        <v>333</v>
      </c>
      <c r="I37" s="83"/>
      <c r="J37" s="71"/>
      <c r="K37" s="71"/>
      <c r="S37" s="3"/>
      <c r="T37" s="12" t="s">
        <v>365</v>
      </c>
      <c r="U37" s="58">
        <v>130002</v>
      </c>
      <c r="V37" s="71"/>
      <c r="W37" s="3" t="s">
        <v>447</v>
      </c>
      <c r="X37" s="9" t="s">
        <v>411</v>
      </c>
      <c r="Y37" s="11" t="s">
        <v>75</v>
      </c>
      <c r="Z37" s="27">
        <f>$I$47</f>
        <v>8</v>
      </c>
      <c r="AC37" s="3">
        <f t="shared" si="0"/>
        <v>37</v>
      </c>
      <c r="AD37" s="37" t="s">
        <v>268</v>
      </c>
      <c r="AE37" s="45" t="s">
        <v>67</v>
      </c>
      <c r="AF37" s="2">
        <f>($AF$32+$AF$33)/2</f>
        <v>6922.271041496575</v>
      </c>
    </row>
    <row r="38" spans="6:34" x14ac:dyDescent="0.4">
      <c r="G38" s="3"/>
      <c r="H38" s="12" t="s">
        <v>334</v>
      </c>
      <c r="I38" s="13"/>
      <c r="J38" s="71"/>
      <c r="K38" s="71"/>
      <c r="S38" s="3"/>
      <c r="T38" s="12" t="s">
        <v>366</v>
      </c>
      <c r="U38" s="58">
        <v>140001</v>
      </c>
      <c r="V38" s="71"/>
      <c r="W38" s="3" t="s">
        <v>448</v>
      </c>
      <c r="X38" s="9" t="s">
        <v>4</v>
      </c>
      <c r="Y38" s="11" t="s">
        <v>74</v>
      </c>
      <c r="Z38" s="27">
        <f>$C$8</f>
        <v>6933.25</v>
      </c>
      <c r="AC38" s="3">
        <f t="shared" si="0"/>
        <v>38</v>
      </c>
      <c r="AD38" s="37" t="s">
        <v>269</v>
      </c>
      <c r="AE38" s="45" t="s">
        <v>66</v>
      </c>
      <c r="AF38" s="2">
        <f>($AF$35+$AF$36)/2</f>
        <v>6906.3599962497628</v>
      </c>
    </row>
    <row r="39" spans="6:34" x14ac:dyDescent="0.4">
      <c r="S39" s="3"/>
      <c r="T39" s="12" t="s">
        <v>558</v>
      </c>
      <c r="U39" s="58">
        <v>150002</v>
      </c>
      <c r="V39" s="71"/>
      <c r="W39" s="3" t="s">
        <v>449</v>
      </c>
      <c r="X39" s="9" t="s">
        <v>412</v>
      </c>
      <c r="Y39" s="11" t="s">
        <v>74</v>
      </c>
      <c r="Z39" s="27">
        <f>$C$20</f>
        <v>7.0000000000000007E-2</v>
      </c>
      <c r="AA39" s="5"/>
      <c r="AC39" s="3">
        <f t="shared" si="0"/>
        <v>39</v>
      </c>
      <c r="AD39" s="37" t="s">
        <v>107</v>
      </c>
      <c r="AE39" s="45" t="s">
        <v>65</v>
      </c>
      <c r="AF39" s="2">
        <f>$Z$195+$Z$196/2</f>
        <v>14</v>
      </c>
    </row>
    <row r="40" spans="6:34" x14ac:dyDescent="0.4">
      <c r="G40" s="3"/>
      <c r="H40" s="89" t="s">
        <v>629</v>
      </c>
      <c r="I40" s="5"/>
      <c r="J40" s="71"/>
      <c r="K40" s="71"/>
      <c r="S40" s="3"/>
      <c r="T40" s="12" t="s">
        <v>613</v>
      </c>
      <c r="U40" s="58">
        <v>160003</v>
      </c>
      <c r="V40" s="71"/>
      <c r="Z40" s="5"/>
      <c r="AA40" s="5"/>
      <c r="AC40" s="3">
        <f t="shared" si="0"/>
        <v>40</v>
      </c>
      <c r="AD40" s="37" t="s">
        <v>108</v>
      </c>
      <c r="AE40" s="45" t="s">
        <v>34</v>
      </c>
      <c r="AF40" s="2">
        <f>$Z$4-$AF$39</f>
        <v>376</v>
      </c>
      <c r="AH40" s="2"/>
    </row>
    <row r="41" spans="6:34" x14ac:dyDescent="0.4">
      <c r="G41" s="3"/>
      <c r="H41" s="12" t="s">
        <v>631</v>
      </c>
      <c r="I41" s="56">
        <v>1</v>
      </c>
      <c r="J41" s="71"/>
      <c r="K41" s="71"/>
      <c r="S41" s="3"/>
      <c r="T41" s="12" t="s">
        <v>400</v>
      </c>
      <c r="U41" s="58">
        <v>210003</v>
      </c>
      <c r="V41" s="71"/>
      <c r="X41" s="4" t="s">
        <v>415</v>
      </c>
      <c r="Y41" s="6"/>
      <c r="Z41" s="5"/>
      <c r="AC41" s="3">
        <f t="shared" si="0"/>
        <v>41</v>
      </c>
      <c r="AD41" s="37" t="s">
        <v>294</v>
      </c>
      <c r="AE41" s="45" t="s">
        <v>296</v>
      </c>
      <c r="AF41" s="2">
        <f>$Z$195+$Z$196</f>
        <v>18</v>
      </c>
    </row>
    <row r="42" spans="6:34" x14ac:dyDescent="0.4">
      <c r="F42" s="14"/>
      <c r="G42" s="3"/>
      <c r="H42" s="12" t="s">
        <v>630</v>
      </c>
      <c r="I42" s="13">
        <v>0.5</v>
      </c>
      <c r="J42" s="71"/>
      <c r="K42" s="71"/>
      <c r="L42" s="14"/>
      <c r="M42" s="14"/>
      <c r="N42" s="14"/>
      <c r="O42" s="14"/>
      <c r="P42" s="14"/>
      <c r="Q42" s="14"/>
      <c r="R42" s="14"/>
      <c r="S42" s="3"/>
      <c r="T42" s="12" t="s">
        <v>401</v>
      </c>
      <c r="U42" s="58">
        <v>410000</v>
      </c>
      <c r="V42" s="71"/>
      <c r="W42" s="3" t="s">
        <v>463</v>
      </c>
      <c r="X42" s="9" t="s">
        <v>360</v>
      </c>
      <c r="Y42" s="11" t="s">
        <v>74</v>
      </c>
      <c r="Z42" s="57" t="str">
        <f>IF($I$2&lt;&gt;1, $U$34, "")</f>
        <v/>
      </c>
      <c r="AC42" s="3">
        <f t="shared" si="0"/>
        <v>42</v>
      </c>
      <c r="AD42" s="37" t="s">
        <v>295</v>
      </c>
      <c r="AE42" s="45" t="s">
        <v>299</v>
      </c>
      <c r="AF42" s="2">
        <f>$Z$4-$AF$41</f>
        <v>372</v>
      </c>
    </row>
    <row r="43" spans="6:34" x14ac:dyDescent="0.4">
      <c r="F43" s="14"/>
      <c r="G43" s="3"/>
      <c r="H43" s="12" t="s">
        <v>335</v>
      </c>
      <c r="I43" s="52">
        <v>45</v>
      </c>
      <c r="J43" s="71"/>
      <c r="K43" s="71"/>
      <c r="L43" s="14"/>
      <c r="M43" s="14"/>
      <c r="N43" s="14"/>
      <c r="O43" s="14"/>
      <c r="P43" s="14"/>
      <c r="Q43" s="14"/>
      <c r="R43" s="14"/>
      <c r="S43" s="3"/>
      <c r="T43" s="12" t="s">
        <v>402</v>
      </c>
      <c r="U43" s="58">
        <v>420000</v>
      </c>
      <c r="V43" s="71"/>
      <c r="W43" s="3" t="s">
        <v>77</v>
      </c>
      <c r="X43" s="9" t="s">
        <v>8</v>
      </c>
      <c r="Y43" s="11" t="s">
        <v>77</v>
      </c>
      <c r="Z43" s="27">
        <f>$AF$17</f>
        <v>154</v>
      </c>
      <c r="AC43" s="3">
        <f t="shared" si="0"/>
        <v>43</v>
      </c>
      <c r="AD43" s="37" t="s">
        <v>298</v>
      </c>
      <c r="AE43" s="45" t="s">
        <v>300</v>
      </c>
      <c r="AF43" s="2">
        <f>$Z$4-$Z$195</f>
        <v>380</v>
      </c>
    </row>
    <row r="44" spans="6:34" x14ac:dyDescent="0.4">
      <c r="G44" s="14"/>
      <c r="H44" s="14"/>
      <c r="I44" s="14"/>
      <c r="J44" s="14"/>
      <c r="K44" s="14"/>
      <c r="S44" s="3"/>
      <c r="T44" s="12" t="s">
        <v>556</v>
      </c>
      <c r="U44" s="58">
        <v>421000</v>
      </c>
      <c r="V44" s="71"/>
      <c r="W44" s="3" t="s">
        <v>75</v>
      </c>
      <c r="X44" s="9" t="s">
        <v>407</v>
      </c>
      <c r="Y44" s="11" t="s">
        <v>75</v>
      </c>
      <c r="Z44" s="27">
        <f>$Z$10</f>
        <v>499.98699125032732</v>
      </c>
      <c r="AA44" s="27">
        <f>$U$9+$Z$44</f>
        <v>-649.98700874967267</v>
      </c>
      <c r="AC44" s="3">
        <f t="shared" si="0"/>
        <v>44</v>
      </c>
      <c r="AD44" s="37" t="s">
        <v>515</v>
      </c>
      <c r="AE44" s="45" t="s">
        <v>518</v>
      </c>
      <c r="AF44" s="2">
        <f>$AF$47-$AF$32</f>
        <v>0.76594229972761241</v>
      </c>
    </row>
    <row r="45" spans="6:34" x14ac:dyDescent="0.4">
      <c r="F45" s="2"/>
      <c r="G45" s="3"/>
      <c r="H45" s="89" t="s">
        <v>327</v>
      </c>
      <c r="I45" s="5"/>
      <c r="J45" s="71"/>
      <c r="K45" s="71"/>
      <c r="L45" s="2"/>
      <c r="M45" s="2"/>
      <c r="N45" s="2"/>
      <c r="O45" s="2"/>
      <c r="P45" s="2"/>
      <c r="Q45" s="2"/>
      <c r="R45" s="2"/>
      <c r="S45" s="3"/>
      <c r="T45" s="12" t="s">
        <v>403</v>
      </c>
      <c r="U45" s="58">
        <v>430000</v>
      </c>
      <c r="V45" s="71"/>
      <c r="Z45" s="5"/>
      <c r="AA45" s="5"/>
      <c r="AC45" s="3">
        <f t="shared" si="0"/>
        <v>45</v>
      </c>
      <c r="AD45" s="37" t="s">
        <v>517</v>
      </c>
      <c r="AE45" s="45" t="s">
        <v>516</v>
      </c>
      <c r="AF45" s="2">
        <f>$AF$46-$AF$31</f>
        <v>0.77455778953481058</v>
      </c>
    </row>
    <row r="46" spans="6:34" x14ac:dyDescent="0.4">
      <c r="F46" s="2"/>
      <c r="G46" s="3"/>
      <c r="H46" s="12" t="s">
        <v>631</v>
      </c>
      <c r="I46" s="52">
        <v>1</v>
      </c>
      <c r="J46" s="71"/>
      <c r="K46" s="71"/>
      <c r="L46" s="2"/>
      <c r="M46" s="2"/>
      <c r="N46" s="2"/>
      <c r="O46" s="2"/>
      <c r="P46" s="2"/>
      <c r="Q46" s="2"/>
      <c r="R46" s="2"/>
      <c r="S46" s="3"/>
      <c r="T46" s="12" t="s">
        <v>404</v>
      </c>
      <c r="U46" s="58">
        <v>440000</v>
      </c>
      <c r="V46" s="71"/>
      <c r="X46" s="4" t="s">
        <v>416</v>
      </c>
      <c r="Y46" s="6"/>
      <c r="Z46" s="5"/>
      <c r="AC46" s="3">
        <f t="shared" si="0"/>
        <v>46</v>
      </c>
      <c r="AD46" s="37" t="s">
        <v>270</v>
      </c>
      <c r="AE46" s="45" t="s">
        <v>35</v>
      </c>
      <c r="AF46" s="2">
        <f>SQRT($C$8^2-$AF$40^2)</f>
        <v>6923.0469854320645</v>
      </c>
    </row>
    <row r="47" spans="6:34" x14ac:dyDescent="0.4">
      <c r="F47" s="2"/>
      <c r="G47" s="3"/>
      <c r="H47" s="12" t="s">
        <v>336</v>
      </c>
      <c r="I47" s="13">
        <v>8</v>
      </c>
      <c r="J47" s="71"/>
      <c r="K47" s="71"/>
      <c r="L47" s="2"/>
      <c r="M47" s="2"/>
      <c r="N47" s="2"/>
      <c r="O47" s="2"/>
      <c r="P47" s="2"/>
      <c r="Q47" s="2"/>
      <c r="R47" s="2"/>
      <c r="S47" s="3"/>
      <c r="T47" s="12" t="s">
        <v>614</v>
      </c>
      <c r="U47" s="58">
        <v>441000</v>
      </c>
      <c r="V47" s="71"/>
      <c r="W47" s="3" t="s">
        <v>463</v>
      </c>
      <c r="X47" s="9" t="s">
        <v>360</v>
      </c>
      <c r="Y47" s="11" t="s">
        <v>74</v>
      </c>
      <c r="Z47" s="57">
        <f>$U$36</f>
        <v>130001</v>
      </c>
      <c r="AC47" s="3">
        <f t="shared" si="0"/>
        <v>47</v>
      </c>
      <c r="AD47" s="37" t="s">
        <v>271</v>
      </c>
      <c r="AE47" s="45" t="s">
        <v>68</v>
      </c>
      <c r="AF47" s="2">
        <f>SQRT($AF$27^2-$AF$40^2)</f>
        <v>7000.9102979541167</v>
      </c>
    </row>
    <row r="48" spans="6:34" x14ac:dyDescent="0.4">
      <c r="F48" s="2"/>
      <c r="G48" s="3"/>
      <c r="H48" s="12" t="s">
        <v>337</v>
      </c>
      <c r="I48" s="52">
        <v>30</v>
      </c>
      <c r="J48" s="71"/>
      <c r="K48" s="71"/>
      <c r="L48" s="2"/>
      <c r="M48" s="2"/>
      <c r="N48" s="2"/>
      <c r="O48" s="2"/>
      <c r="P48" s="2"/>
      <c r="Q48" s="2"/>
      <c r="R48" s="2"/>
      <c r="S48" s="3"/>
      <c r="T48" s="12" t="s">
        <v>405</v>
      </c>
      <c r="U48" s="58">
        <v>450000</v>
      </c>
      <c r="V48" s="71"/>
      <c r="W48" s="3" t="s">
        <v>78</v>
      </c>
      <c r="X48" s="9" t="s">
        <v>83</v>
      </c>
      <c r="Y48" s="11" t="s">
        <v>78</v>
      </c>
      <c r="Z48" s="27">
        <f ca="1">INDEX(INDIRECT($AF$2&amp;"!B:B"), MATCH(ROUND($Z$4+$Z$5, 0), INDIRECT($AF$2&amp;"!A:A"), 0))</f>
        <v>133.5</v>
      </c>
      <c r="AC48" s="3">
        <f t="shared" si="0"/>
        <v>48</v>
      </c>
      <c r="AD48" s="37" t="s">
        <v>272</v>
      </c>
      <c r="AE48" s="45" t="s">
        <v>69</v>
      </c>
      <c r="AF48" s="2">
        <f>SQRT($AF$26^2-$AF$40^2)</f>
        <v>6845.1810969469607</v>
      </c>
    </row>
    <row r="49" spans="7:32" x14ac:dyDescent="0.4">
      <c r="G49" s="2"/>
      <c r="H49" s="2"/>
      <c r="I49" s="2"/>
      <c r="J49" s="2"/>
      <c r="K49" s="2"/>
      <c r="S49" s="3"/>
      <c r="T49" s="12" t="s">
        <v>550</v>
      </c>
      <c r="U49" s="58">
        <v>460000</v>
      </c>
      <c r="V49" s="71"/>
      <c r="W49" s="3" t="s">
        <v>75</v>
      </c>
      <c r="X49" s="9" t="s">
        <v>407</v>
      </c>
      <c r="Y49" s="11" t="s">
        <v>75</v>
      </c>
      <c r="Z49" s="27">
        <f>$Z$10</f>
        <v>499.98699125032732</v>
      </c>
      <c r="AA49" s="27">
        <f>$U$9+$Z$49</f>
        <v>-649.98700874967267</v>
      </c>
      <c r="AC49" s="3">
        <f t="shared" si="0"/>
        <v>49</v>
      </c>
      <c r="AD49" s="37" t="s">
        <v>292</v>
      </c>
      <c r="AE49" s="45" t="s">
        <v>293</v>
      </c>
      <c r="AF49" s="2">
        <f>SQRT($AF$27^2-$AF$42^2)</f>
        <v>7001.1239811904488</v>
      </c>
    </row>
    <row r="50" spans="7:32" x14ac:dyDescent="0.4">
      <c r="G50" s="3"/>
      <c r="H50" s="89" t="s">
        <v>328</v>
      </c>
      <c r="I50" s="5"/>
      <c r="J50" s="71"/>
      <c r="K50" s="71"/>
      <c r="S50" s="3"/>
      <c r="T50" s="12" t="s">
        <v>565</v>
      </c>
      <c r="U50" s="58">
        <v>470000</v>
      </c>
      <c r="V50" s="71"/>
      <c r="W50" s="3" t="s">
        <v>445</v>
      </c>
      <c r="X50" s="9" t="s">
        <v>406</v>
      </c>
      <c r="Y50" s="11" t="s">
        <v>75</v>
      </c>
      <c r="Z50" s="27">
        <f>$Z$5</f>
        <v>610</v>
      </c>
      <c r="AA50" s="27">
        <f>$U$9+$Z$50</f>
        <v>-539.97399999999993</v>
      </c>
      <c r="AC50" s="3">
        <f t="shared" si="0"/>
        <v>50</v>
      </c>
      <c r="AD50" s="37" t="s">
        <v>297</v>
      </c>
      <c r="AE50" s="45" t="s">
        <v>315</v>
      </c>
      <c r="AF50" s="2">
        <f>SQRT($AF$27^2-$AF$43^2)</f>
        <v>7000.6943227082838</v>
      </c>
    </row>
    <row r="51" spans="7:32" x14ac:dyDescent="0.4">
      <c r="G51" s="3"/>
      <c r="H51" s="12" t="s">
        <v>631</v>
      </c>
      <c r="I51" s="52">
        <v>1</v>
      </c>
      <c r="J51" s="71"/>
      <c r="K51" s="71"/>
      <c r="S51" s="3"/>
      <c r="T51" s="12" t="s">
        <v>618</v>
      </c>
      <c r="U51" s="58">
        <v>900003</v>
      </c>
      <c r="V51" s="71"/>
      <c r="W51" s="3" t="s">
        <v>448</v>
      </c>
      <c r="X51" s="9" t="s">
        <v>4</v>
      </c>
      <c r="Y51" s="11" t="s">
        <v>74</v>
      </c>
      <c r="Z51" s="27">
        <f>$C$8</f>
        <v>6933.25</v>
      </c>
      <c r="AC51" s="3">
        <f t="shared" si="0"/>
        <v>51</v>
      </c>
      <c r="AD51" s="37" t="s">
        <v>303</v>
      </c>
      <c r="AE51" s="45" t="s">
        <v>305</v>
      </c>
      <c r="AF51" s="2">
        <f>($AF$49-$AF$50)/$Z$196</f>
        <v>5.3707310270624475E-2</v>
      </c>
    </row>
    <row r="52" spans="7:32" x14ac:dyDescent="0.4">
      <c r="G52" s="3"/>
      <c r="H52" s="12" t="s">
        <v>340</v>
      </c>
      <c r="I52" s="13">
        <v>0.5</v>
      </c>
      <c r="J52" s="71"/>
      <c r="K52" s="71"/>
      <c r="S52" s="3"/>
      <c r="T52" s="12" t="s">
        <v>619</v>
      </c>
      <c r="U52" s="58">
        <v>910001</v>
      </c>
      <c r="V52" s="71"/>
      <c r="W52" s="3" t="s">
        <v>449</v>
      </c>
      <c r="X52" s="9" t="s">
        <v>412</v>
      </c>
      <c r="Y52" s="11" t="s">
        <v>74</v>
      </c>
      <c r="Z52" s="27">
        <f>$C$20</f>
        <v>7.0000000000000007E-2</v>
      </c>
      <c r="AA52" s="5"/>
      <c r="AC52" s="3">
        <f t="shared" si="0"/>
        <v>52</v>
      </c>
      <c r="AD52" s="37" t="s">
        <v>304</v>
      </c>
      <c r="AE52" s="45" t="s">
        <v>306</v>
      </c>
      <c r="AF52" s="2">
        <f>SIN(ATAN($AF$51))</f>
        <v>5.3630018737983995E-2</v>
      </c>
    </row>
    <row r="53" spans="7:32" x14ac:dyDescent="0.4">
      <c r="G53" s="3"/>
      <c r="H53" s="12" t="s">
        <v>341</v>
      </c>
      <c r="I53" s="52">
        <v>45</v>
      </c>
      <c r="J53" s="71"/>
      <c r="K53" s="71"/>
      <c r="S53" s="3"/>
      <c r="T53" s="12" t="s">
        <v>620</v>
      </c>
      <c r="U53" s="58">
        <v>910002</v>
      </c>
      <c r="V53" s="71"/>
      <c r="Z53" s="5"/>
      <c r="AA53" s="5"/>
      <c r="AC53" s="3">
        <f t="shared" si="0"/>
        <v>53</v>
      </c>
      <c r="AD53" s="37" t="s">
        <v>307</v>
      </c>
      <c r="AE53" s="45" t="s">
        <v>308</v>
      </c>
      <c r="AF53" s="2">
        <f>COS(ATAN($AF$51))</f>
        <v>0.99856087500470569</v>
      </c>
    </row>
    <row r="54" spans="7:32" x14ac:dyDescent="0.4">
      <c r="X54" s="4" t="s">
        <v>417</v>
      </c>
      <c r="Y54" s="6"/>
      <c r="Z54" s="5"/>
      <c r="AC54" s="3">
        <f t="shared" si="0"/>
        <v>54</v>
      </c>
      <c r="AD54" s="37" t="s">
        <v>314</v>
      </c>
      <c r="AF54" s="2">
        <f>2*$AF$53/(1+$AF$53^2)</f>
        <v>0.9999989629682795</v>
      </c>
    </row>
    <row r="55" spans="7:32" x14ac:dyDescent="0.4">
      <c r="G55" s="3"/>
      <c r="H55" s="89" t="s">
        <v>329</v>
      </c>
      <c r="I55" s="5"/>
      <c r="J55" s="71"/>
      <c r="K55" s="71"/>
      <c r="W55" s="3" t="s">
        <v>463</v>
      </c>
      <c r="X55" s="9" t="s">
        <v>360</v>
      </c>
      <c r="Y55" s="11" t="s">
        <v>74</v>
      </c>
      <c r="Z55" s="57">
        <f>$U$37</f>
        <v>130002</v>
      </c>
      <c r="AC55" s="3">
        <f>ROW(AC55)</f>
        <v>55</v>
      </c>
      <c r="AD55" s="37" t="s">
        <v>309</v>
      </c>
      <c r="AE55" s="45" t="s">
        <v>316</v>
      </c>
      <c r="AF55" s="2">
        <f>$AF$47-$AF$50</f>
        <v>0.21597524583285121</v>
      </c>
    </row>
    <row r="56" spans="7:32" x14ac:dyDescent="0.4">
      <c r="G56" s="3"/>
      <c r="H56" s="12" t="s">
        <v>631</v>
      </c>
      <c r="I56" s="56">
        <v>1</v>
      </c>
      <c r="J56" s="71"/>
      <c r="K56" s="71"/>
      <c r="W56" s="3" t="s">
        <v>77</v>
      </c>
      <c r="X56" s="9" t="s">
        <v>418</v>
      </c>
      <c r="Y56" s="11" t="s">
        <v>77</v>
      </c>
      <c r="Z56" s="27">
        <f ca="1">$AF$117</f>
        <v>132</v>
      </c>
      <c r="AC56" s="3">
        <f t="shared" si="0"/>
        <v>56</v>
      </c>
      <c r="AD56" s="37" t="s">
        <v>310</v>
      </c>
      <c r="AF56" s="2">
        <f>$Z$196*$AF$52/2</f>
        <v>0.21452007495193598</v>
      </c>
    </row>
    <row r="57" spans="7:32" x14ac:dyDescent="0.4">
      <c r="G57" s="3"/>
      <c r="H57" s="12" t="s">
        <v>330</v>
      </c>
      <c r="I57" s="13">
        <v>0.5</v>
      </c>
      <c r="J57" s="71"/>
      <c r="K57" s="71"/>
      <c r="W57" s="3" t="s">
        <v>75</v>
      </c>
      <c r="X57" s="9" t="s">
        <v>407</v>
      </c>
      <c r="Y57" s="11" t="s">
        <v>75</v>
      </c>
      <c r="Z57" s="27">
        <f>$Z$10</f>
        <v>499.98699125032732</v>
      </c>
      <c r="AA57" s="27">
        <f>$U$9+$Z$57</f>
        <v>-649.98700874967267</v>
      </c>
      <c r="AC57" s="3">
        <f t="shared" si="0"/>
        <v>57</v>
      </c>
      <c r="AD57" s="37" t="s">
        <v>311</v>
      </c>
      <c r="AE57" s="45" t="s">
        <v>313</v>
      </c>
      <c r="AF57" s="2">
        <f>$AF$54*($Z$106-$AF$56)+$AF$55</f>
        <v>1.4553933450376366E-3</v>
      </c>
    </row>
    <row r="58" spans="7:32" x14ac:dyDescent="0.4">
      <c r="G58" s="3"/>
      <c r="H58" s="12" t="s">
        <v>80</v>
      </c>
      <c r="I58" s="52">
        <v>45</v>
      </c>
      <c r="J58" s="71"/>
      <c r="K58" s="71"/>
      <c r="W58" s="3" t="s">
        <v>449</v>
      </c>
      <c r="X58" s="9" t="s">
        <v>412</v>
      </c>
      <c r="Y58" s="11" t="s">
        <v>74</v>
      </c>
      <c r="Z58" s="27">
        <f>$C$20</f>
        <v>7.0000000000000007E-2</v>
      </c>
      <c r="AA58" s="5"/>
      <c r="AC58" s="3">
        <f t="shared" si="0"/>
        <v>58</v>
      </c>
      <c r="AD58" s="37" t="s">
        <v>623</v>
      </c>
      <c r="AE58" s="45" t="s">
        <v>624</v>
      </c>
      <c r="AF58" s="2">
        <f>$I$35-$I$31*$AF$40/(2*$AF$26)</f>
        <v>-0.21938589453723287</v>
      </c>
    </row>
    <row r="59" spans="7:32" x14ac:dyDescent="0.4">
      <c r="Z59" s="5"/>
      <c r="AA59" s="5"/>
      <c r="AC59" s="3">
        <f t="shared" si="0"/>
        <v>59</v>
      </c>
      <c r="AD59" s="37" t="s">
        <v>602</v>
      </c>
      <c r="AE59" s="45" t="s">
        <v>278</v>
      </c>
      <c r="AF59" s="2">
        <f>$Z$5-$I$47</f>
        <v>602</v>
      </c>
    </row>
    <row r="60" spans="7:32" x14ac:dyDescent="0.4">
      <c r="X60" s="70" t="s">
        <v>524</v>
      </c>
      <c r="Y60" s="11"/>
      <c r="Z60" s="27" t="s">
        <v>525</v>
      </c>
      <c r="AA60" s="27" t="s">
        <v>526</v>
      </c>
      <c r="AC60" s="3">
        <f t="shared" si="0"/>
        <v>60</v>
      </c>
      <c r="AD60" s="37" t="s">
        <v>603</v>
      </c>
      <c r="AE60" s="45" t="s">
        <v>279</v>
      </c>
      <c r="AF60" s="2">
        <f>SQRT($C$8^2-$AF$59^2)</f>
        <v>6907.0653364869804</v>
      </c>
    </row>
    <row r="61" spans="7:32" x14ac:dyDescent="0.4">
      <c r="Z61" s="5"/>
      <c r="AA61" s="5"/>
      <c r="AC61" s="3">
        <f t="shared" si="0"/>
        <v>61</v>
      </c>
      <c r="AD61" s="37" t="s">
        <v>604</v>
      </c>
      <c r="AF61" s="2">
        <f>AF60-AF34</f>
        <v>0.70192565346133051</v>
      </c>
    </row>
    <row r="62" spans="7:32" x14ac:dyDescent="0.4">
      <c r="X62" s="4" t="s">
        <v>419</v>
      </c>
      <c r="Y62" s="6"/>
      <c r="Z62" s="5"/>
      <c r="AC62" s="3">
        <f t="shared" si="0"/>
        <v>62</v>
      </c>
      <c r="AD62" s="37" t="s">
        <v>605</v>
      </c>
      <c r="AE62" s="45" t="s">
        <v>521</v>
      </c>
      <c r="AF62" s="2">
        <f>$Z$4-$I$57</f>
        <v>389.5</v>
      </c>
    </row>
    <row r="63" spans="7:32" x14ac:dyDescent="0.4">
      <c r="W63" s="3" t="s">
        <v>463</v>
      </c>
      <c r="X63" s="9" t="s">
        <v>360</v>
      </c>
      <c r="Y63" s="11" t="s">
        <v>74</v>
      </c>
      <c r="Z63" s="57" cm="1">
        <f t="array" ref="Z63">_xlfn.IFS($I$11=0, $U$33, AND($I$11=1, $I$22&lt;&gt;1), $U$38, AND($I$11=1, $I$22&lt;&gt;2), "")</f>
        <v>140001</v>
      </c>
      <c r="AC63" s="3">
        <f t="shared" si="0"/>
        <v>63</v>
      </c>
      <c r="AD63" s="37" t="s">
        <v>606</v>
      </c>
      <c r="AE63" s="45" t="s">
        <v>522</v>
      </c>
      <c r="AF63" s="2">
        <f>SQRT($C$8^2-$AF$62^2)</f>
        <v>6922.3005794677829</v>
      </c>
    </row>
    <row r="64" spans="7:32" x14ac:dyDescent="0.4">
      <c r="W64" s="3" t="s">
        <v>78</v>
      </c>
      <c r="X64" s="9" t="s">
        <v>57</v>
      </c>
      <c r="Y64" s="11" t="s">
        <v>78</v>
      </c>
      <c r="Z64" s="27">
        <f>$AF$16</f>
        <v>155.5</v>
      </c>
      <c r="AC64" s="3">
        <f t="shared" si="0"/>
        <v>64</v>
      </c>
      <c r="AD64" s="37" t="s">
        <v>607</v>
      </c>
      <c r="AF64" s="2">
        <f>AF63-AF31</f>
        <v>2.81518252531896E-2</v>
      </c>
    </row>
    <row r="65" spans="3:32" x14ac:dyDescent="0.4">
      <c r="W65" s="3" t="s">
        <v>78</v>
      </c>
      <c r="X65" s="9" t="s">
        <v>420</v>
      </c>
      <c r="Y65" s="11" t="s">
        <v>78</v>
      </c>
      <c r="Z65" s="27">
        <f>$AF$22</f>
        <v>154</v>
      </c>
      <c r="AC65" s="3">
        <f t="shared" si="0"/>
        <v>65</v>
      </c>
      <c r="AD65" s="37" t="s">
        <v>111</v>
      </c>
      <c r="AE65" s="45" t="str">
        <f>IF($O$8&gt;=3, "振分中心-ディンプル1列目間距離", "-")</f>
        <v>-</v>
      </c>
      <c r="AF65" s="36">
        <f>$Z$4-$O$3</f>
        <v>390</v>
      </c>
    </row>
    <row r="66" spans="3:32" x14ac:dyDescent="0.4">
      <c r="W66" s="3" t="s">
        <v>450</v>
      </c>
      <c r="X66" s="9" t="s">
        <v>81</v>
      </c>
      <c r="Y66" s="11" t="s">
        <v>78</v>
      </c>
      <c r="Z66" s="27">
        <f ca="1">$AF$113</f>
        <v>135.4999396420242</v>
      </c>
      <c r="AB66" s="3"/>
      <c r="AC66" s="3">
        <f t="shared" si="0"/>
        <v>66</v>
      </c>
      <c r="AD66" s="37" t="s">
        <v>139</v>
      </c>
      <c r="AE66" s="45" t="str">
        <f>IF($O$8&gt;=4, "振分中心-ディンプル2列目間距離", "-")</f>
        <v>-</v>
      </c>
      <c r="AF66" s="36" t="str">
        <f>IF($O$8&gt;=4,$AF$65-1*$O$4, "-")</f>
        <v>-</v>
      </c>
    </row>
    <row r="67" spans="3:32" x14ac:dyDescent="0.4">
      <c r="W67" s="3" t="s">
        <v>75</v>
      </c>
      <c r="X67" s="9" t="s">
        <v>421</v>
      </c>
      <c r="Y67" s="11" t="s">
        <v>75</v>
      </c>
      <c r="Z67" s="27">
        <f>$Z$9</f>
        <v>500.01300874967268</v>
      </c>
      <c r="AA67" s="27">
        <f>$U$9+$Z$67</f>
        <v>-649.9609912503272</v>
      </c>
      <c r="AC67" s="3">
        <f t="shared" si="0"/>
        <v>67</v>
      </c>
      <c r="AD67" s="37" t="s">
        <v>140</v>
      </c>
      <c r="AE67" s="45" t="str">
        <f>IF($O$8&gt;=5, "振分中心-ディンプル3列目間距離", "-")</f>
        <v>-</v>
      </c>
      <c r="AF67" s="36" t="str">
        <f>IF($O$8&gt;=5,$AF$65-2*$O$4, "-")</f>
        <v>-</v>
      </c>
    </row>
    <row r="68" spans="3:32" x14ac:dyDescent="0.4">
      <c r="W68" s="3" t="s">
        <v>445</v>
      </c>
      <c r="X68" s="9" t="s">
        <v>422</v>
      </c>
      <c r="Y68" s="11" t="s">
        <v>75</v>
      </c>
      <c r="Z68" s="27">
        <f>$Z$4</f>
        <v>390</v>
      </c>
      <c r="AA68" s="44"/>
      <c r="AC68" s="3">
        <f t="shared" si="0"/>
        <v>68</v>
      </c>
      <c r="AD68" s="37" t="s">
        <v>141</v>
      </c>
      <c r="AE68" s="45" t="str">
        <f>IF($O$8&gt;=6, "振分中心-ディンプル4列目間距離", "-")</f>
        <v>-</v>
      </c>
      <c r="AF68" s="36" t="str">
        <f>IF($O$8&gt;=6,$AF$65-3*$O$4, "-")</f>
        <v>-</v>
      </c>
    </row>
    <row r="69" spans="3:32" x14ac:dyDescent="0.4">
      <c r="W69" s="3" t="s">
        <v>446</v>
      </c>
      <c r="X69" s="9" t="s">
        <v>423</v>
      </c>
      <c r="Y69" s="11" t="s">
        <v>78</v>
      </c>
      <c r="Z69" s="27">
        <f>$AF$24</f>
        <v>10</v>
      </c>
      <c r="AC69" s="3">
        <f t="shared" si="0"/>
        <v>69</v>
      </c>
      <c r="AD69" s="37" t="s">
        <v>143</v>
      </c>
      <c r="AE69" s="45" t="str">
        <f>IF($O$8&gt;=7, "振分中心-ディンプル5列目間距離", "-")</f>
        <v>-</v>
      </c>
      <c r="AF69" s="36" t="str">
        <f>IF($O$8&gt;=7,$AF$65-4*$O$4, "-")</f>
        <v>-</v>
      </c>
    </row>
    <row r="70" spans="3:32" x14ac:dyDescent="0.4">
      <c r="W70" s="3" t="s">
        <v>447</v>
      </c>
      <c r="X70" s="9" t="s">
        <v>424</v>
      </c>
      <c r="Y70" s="11" t="s">
        <v>75</v>
      </c>
      <c r="Z70" s="27">
        <f>$I$57</f>
        <v>0.5</v>
      </c>
      <c r="AC70" s="3">
        <f t="shared" si="0"/>
        <v>70</v>
      </c>
      <c r="AD70" s="37" t="s">
        <v>142</v>
      </c>
      <c r="AE70" s="45" t="str">
        <f>IF($O$8&gt;=8, "振分中心-ディンプル6列目間距離", "-")</f>
        <v>-</v>
      </c>
      <c r="AF70" s="36" t="str">
        <f>IF($O$8&gt;=8,$AF$65-5*$O$4, "-")</f>
        <v>-</v>
      </c>
    </row>
    <row r="71" spans="3:32" x14ac:dyDescent="0.4">
      <c r="W71" s="3" t="s">
        <v>448</v>
      </c>
      <c r="X71" s="9" t="s">
        <v>4</v>
      </c>
      <c r="Y71" s="11" t="s">
        <v>74</v>
      </c>
      <c r="Z71" s="27">
        <f>$C$8</f>
        <v>6933.25</v>
      </c>
      <c r="AC71" s="3">
        <f t="shared" si="0"/>
        <v>71</v>
      </c>
      <c r="AD71" s="37" t="s">
        <v>115</v>
      </c>
      <c r="AE71" s="45" t="s">
        <v>379</v>
      </c>
      <c r="AF71" s="36">
        <f>$AF$65-($O$8-2)*$O$4</f>
        <v>390</v>
      </c>
    </row>
    <row r="72" spans="3:32" x14ac:dyDescent="0.4">
      <c r="W72" s="3" t="s">
        <v>449</v>
      </c>
      <c r="X72" s="9" t="s">
        <v>30</v>
      </c>
      <c r="Y72" s="11" t="s">
        <v>75</v>
      </c>
      <c r="Z72" s="27">
        <f>$Z$195</f>
        <v>10</v>
      </c>
      <c r="AA72" s="60"/>
      <c r="AC72" s="3">
        <f t="shared" si="0"/>
        <v>72</v>
      </c>
      <c r="AD72" s="37" t="s">
        <v>114</v>
      </c>
      <c r="AE72" s="45" t="s">
        <v>380</v>
      </c>
      <c r="AF72" s="36">
        <f>$AF$65-($O$8-1)*$O$4</f>
        <v>390</v>
      </c>
    </row>
    <row r="73" spans="3:32" x14ac:dyDescent="0.4">
      <c r="W73" s="3" t="s">
        <v>473</v>
      </c>
      <c r="X73" s="9" t="s">
        <v>31</v>
      </c>
      <c r="Y73" s="11" t="s">
        <v>75</v>
      </c>
      <c r="Z73" s="27">
        <f>$Z$196</f>
        <v>8</v>
      </c>
      <c r="AA73" s="60"/>
      <c r="AC73" s="3">
        <f t="shared" si="0"/>
        <v>73</v>
      </c>
      <c r="AD73" s="37" t="s">
        <v>112</v>
      </c>
      <c r="AE73" s="45" t="str">
        <f>IF($O$8&gt;=3,"λj ≦ q &lt; λj+1 の λj", "-")</f>
        <v>-</v>
      </c>
      <c r="AF73" s="36" t="str">
        <f ca="1">IF($O$8&gt;=3,LOOKUP($O$3,INDIRECT($AF$2&amp;"!$A:$A")),"-")</f>
        <v>-</v>
      </c>
    </row>
    <row r="74" spans="3:32" x14ac:dyDescent="0.4">
      <c r="W74" s="3" t="s">
        <v>449</v>
      </c>
      <c r="X74" s="9" t="s">
        <v>412</v>
      </c>
      <c r="Y74" s="11" t="s">
        <v>74</v>
      </c>
      <c r="Z74" s="42">
        <f>$C$20</f>
        <v>7.0000000000000007E-2</v>
      </c>
      <c r="AA74" s="5"/>
      <c r="AC74" s="3">
        <f t="shared" si="0"/>
        <v>74</v>
      </c>
      <c r="AD74" s="37" t="s">
        <v>144</v>
      </c>
      <c r="AE74" s="45" t="str">
        <f>IF($O$8&gt;=4,"λj ≦ q+pz &lt; λj+1 の λj", "-")</f>
        <v>-</v>
      </c>
      <c r="AF74" s="36" t="str">
        <f ca="1">IF($O$8&gt;=4,LOOKUP($O$3+$O$4, INDIRECT($AF$2&amp;"!$A:$A")),"-")</f>
        <v>-</v>
      </c>
    </row>
    <row r="75" spans="3:32" x14ac:dyDescent="0.4">
      <c r="C75" s="90"/>
      <c r="X75" s="70" t="s">
        <v>523</v>
      </c>
      <c r="Y75" s="11" t="s">
        <v>78</v>
      </c>
      <c r="Z75" s="27" t="s">
        <v>527</v>
      </c>
      <c r="AA75" s="27" t="s">
        <v>529</v>
      </c>
      <c r="AC75" s="3">
        <f t="shared" si="0"/>
        <v>75</v>
      </c>
      <c r="AD75" s="37" t="s">
        <v>146</v>
      </c>
      <c r="AE75" s="45" t="str">
        <f>IF($O$8&gt;=5,"λj ≦ q+2pz &lt; λj+1 の λj", "-")</f>
        <v>-</v>
      </c>
      <c r="AF75" s="36" t="str">
        <f ca="1">IF($O$8&gt;=5,LOOKUP($O$3+2*$O$4, INDIRECT($AF$2&amp;"!$A:$A")),"-")</f>
        <v>-</v>
      </c>
    </row>
    <row r="76" spans="3:32" x14ac:dyDescent="0.4">
      <c r="X76" s="9" t="s">
        <v>530</v>
      </c>
      <c r="Y76" s="11" t="s">
        <v>78</v>
      </c>
      <c r="Z76" s="32">
        <f>$I$23</f>
        <v>0</v>
      </c>
      <c r="AA76" s="5"/>
      <c r="AC76" s="3">
        <f t="shared" si="0"/>
        <v>76</v>
      </c>
      <c r="AD76" s="37" t="s">
        <v>148</v>
      </c>
      <c r="AE76" s="45" t="str">
        <f>IF($O$8&gt;=6,"λj ≦ q+3pz &lt; λj+1 の λj", "-")</f>
        <v>-</v>
      </c>
      <c r="AF76" s="36" t="str">
        <f ca="1">IF($O$8&gt;=6,LOOKUP($O$3+3*$O$4, INDIRECT($AF$2&amp;"!$A:$A")),"-")</f>
        <v>-</v>
      </c>
    </row>
    <row r="77" spans="3:32" x14ac:dyDescent="0.4">
      <c r="Z77" s="5"/>
      <c r="AA77" s="5"/>
      <c r="AC77" s="3">
        <f t="shared" si="0"/>
        <v>77</v>
      </c>
      <c r="AD77" s="37" t="s">
        <v>149</v>
      </c>
      <c r="AE77" s="45" t="str">
        <f>IF($O$8&gt;=7,"λj ≦ q+4pz &lt; λj+1 の λj", "-")</f>
        <v>-</v>
      </c>
      <c r="AF77" s="36" t="str">
        <f ca="1">IF($O$8&gt;=7,LOOKUP($O$3+4*$O$4, INDIRECT($AF$2&amp;"!$A:$A")),"-")</f>
        <v>-</v>
      </c>
    </row>
    <row r="78" spans="3:32" x14ac:dyDescent="0.4">
      <c r="X78" s="4" t="s">
        <v>425</v>
      </c>
      <c r="Y78" s="6"/>
      <c r="Z78" s="5"/>
      <c r="AC78" s="3">
        <f t="shared" si="0"/>
        <v>78</v>
      </c>
      <c r="AD78" s="37" t="s">
        <v>150</v>
      </c>
      <c r="AE78" s="45" t="str">
        <f>IF($O$8&gt;=8,"λj ≦ q+5pz &lt; λj+1 の λj", "-")</f>
        <v>-</v>
      </c>
      <c r="AF78" s="36" t="str">
        <f ca="1">IF($O$8&gt;=8,LOOKUP($O$3+5*$O$4, INDIRECT($AF$2&amp;"!$A:$A")),"-")</f>
        <v>-</v>
      </c>
    </row>
    <row r="79" spans="3:32" x14ac:dyDescent="0.4">
      <c r="W79" s="3" t="s">
        <v>463</v>
      </c>
      <c r="X79" s="9" t="s">
        <v>360</v>
      </c>
      <c r="Y79" s="11" t="s">
        <v>74</v>
      </c>
      <c r="Z79" s="57">
        <f>IF($I$22&lt;&gt;1, $U$34, "")</f>
        <v>110002</v>
      </c>
      <c r="AC79" s="3">
        <f t="shared" si="0"/>
        <v>79</v>
      </c>
      <c r="AD79" s="37" t="s">
        <v>152</v>
      </c>
      <c r="AE79" s="45" t="s">
        <v>154</v>
      </c>
      <c r="AF79" s="2">
        <f ca="1">LOOKUP($O$3+($O$8-2)*$O$4, INDIRECT($AF$2&amp;"!$A:$A"))</f>
        <v>0</v>
      </c>
    </row>
    <row r="80" spans="3:32" x14ac:dyDescent="0.4">
      <c r="W80" s="3" t="s">
        <v>77</v>
      </c>
      <c r="X80" s="9" t="s">
        <v>8</v>
      </c>
      <c r="Y80" s="11" t="s">
        <v>77</v>
      </c>
      <c r="Z80" s="27">
        <f>$AF$17</f>
        <v>154</v>
      </c>
      <c r="AC80" s="3">
        <f t="shared" si="0"/>
        <v>80</v>
      </c>
      <c r="AD80" s="37" t="s">
        <v>151</v>
      </c>
      <c r="AE80" s="45" t="s">
        <v>153</v>
      </c>
      <c r="AF80" s="2">
        <f ca="1">LOOKUP($O$3+($O$8-1)*$O$4, INDIRECT($AF$2&amp;"!$A:$A"))</f>
        <v>0</v>
      </c>
    </row>
    <row r="81" spans="2:32" x14ac:dyDescent="0.4">
      <c r="W81" s="3" t="s">
        <v>75</v>
      </c>
      <c r="X81" s="9" t="s">
        <v>421</v>
      </c>
      <c r="Y81" s="11" t="s">
        <v>75</v>
      </c>
      <c r="Z81" s="27">
        <f>$Z$9</f>
        <v>500.01300874967268</v>
      </c>
      <c r="AA81" s="27">
        <f>$U$9+$Z$81</f>
        <v>-649.9609912503272</v>
      </c>
      <c r="AC81" s="3">
        <f t="shared" si="0"/>
        <v>81</v>
      </c>
      <c r="AD81" s="37" t="s">
        <v>113</v>
      </c>
      <c r="AE81" s="45" t="str">
        <f>IF($O$8&gt;=3,"λj ≦ q &lt; λj+1 の λj+1", "-")</f>
        <v>-</v>
      </c>
      <c r="AF81" s="2" t="str" cm="1">
        <f t="array" aca="1" ref="AF81" ca="1">IF($O$8&gt;=3, INDEX(INDIRECT($AF$2&amp;"!$A:$A"), MATCH($AF73, INDIRECT($AF$2&amp;"!$A:$A"), 0) +1),"-")</f>
        <v>-</v>
      </c>
    </row>
    <row r="82" spans="2:32" x14ac:dyDescent="0.4">
      <c r="B82" s="4"/>
      <c r="C82" s="90"/>
      <c r="Z82" s="5"/>
      <c r="AA82" s="5"/>
      <c r="AC82" s="3">
        <f t="shared" si="0"/>
        <v>82</v>
      </c>
      <c r="AD82" s="37" t="s">
        <v>145</v>
      </c>
      <c r="AE82" s="45" t="str">
        <f>IF($O$8&gt;=4,"λj ≦ q+pz &lt; λj+1 の λj+1", "-")</f>
        <v>-</v>
      </c>
      <c r="AF82" s="36" t="str" cm="1">
        <f t="array" aca="1" ref="AF82" ca="1">IF($O$8&gt;=4, INDEX(INDIRECT($AF$2&amp;"!$A:$A"), MATCH($AF74, INDIRECT($AF$2&amp;"!$A:$A"), 0) +1),"-")</f>
        <v>-</v>
      </c>
    </row>
    <row r="83" spans="2:32" x14ac:dyDescent="0.4">
      <c r="X83" s="4" t="s">
        <v>426</v>
      </c>
      <c r="Y83" s="6"/>
      <c r="Z83" s="5"/>
      <c r="AC83" s="3">
        <f t="shared" si="0"/>
        <v>83</v>
      </c>
      <c r="AD83" s="37" t="s">
        <v>147</v>
      </c>
      <c r="AE83" s="45" t="str">
        <f>IF($O$8&gt;=5,"λj ≦ q+2pz &lt; λj+1 の λj+1", "-")</f>
        <v>-</v>
      </c>
      <c r="AF83" s="36" t="str" cm="1">
        <f t="array" aca="1" ref="AF83" ca="1">IF($O$8&gt;=5, INDEX(INDIRECT($AF$2&amp;"!$A:$A"), MATCH($AF75, INDIRECT($AF$2&amp;"!$A:$A"), 0) +1),"-")</f>
        <v>-</v>
      </c>
    </row>
    <row r="84" spans="2:32" x14ac:dyDescent="0.4">
      <c r="W84" s="3" t="s">
        <v>463</v>
      </c>
      <c r="X84" s="9" t="s">
        <v>360</v>
      </c>
      <c r="Y84" s="11" t="s">
        <v>74</v>
      </c>
      <c r="Z84" s="57">
        <f>$U$36</f>
        <v>130001</v>
      </c>
      <c r="AC84" s="3">
        <f t="shared" si="0"/>
        <v>84</v>
      </c>
      <c r="AD84" s="37" t="s">
        <v>155</v>
      </c>
      <c r="AE84" s="45" t="str">
        <f>IF($O$8&gt;=6,"λj ≦ q+3pz &lt; λj+1 の λj+1", "-")</f>
        <v>-</v>
      </c>
      <c r="AF84" s="36" t="str" cm="1">
        <f t="array" aca="1" ref="AF84" ca="1">IF($O$8&gt;=6, INDEX(INDIRECT($AF$2&amp;"!$A:$A"), MATCH($AF76, INDIRECT($AF$2&amp;"!$A:$A"), 0) +1),"-")</f>
        <v>-</v>
      </c>
    </row>
    <row r="85" spans="2:32" x14ac:dyDescent="0.4">
      <c r="W85" s="3" t="s">
        <v>78</v>
      </c>
      <c r="X85" s="9" t="s">
        <v>81</v>
      </c>
      <c r="Y85" s="11" t="s">
        <v>78</v>
      </c>
      <c r="Z85" s="27">
        <f ca="1">$AF$113</f>
        <v>135.4999396420242</v>
      </c>
      <c r="AC85" s="3">
        <f t="shared" si="0"/>
        <v>85</v>
      </c>
      <c r="AD85" s="37" t="s">
        <v>156</v>
      </c>
      <c r="AE85" s="45" t="str">
        <f>IF($O$8&gt;=7,"λj ≦ q+4pz &lt; λj+1 の λj+1", "-")</f>
        <v>-</v>
      </c>
      <c r="AF85" s="36" t="str" cm="1">
        <f t="array" aca="1" ref="AF85" ca="1">IF($O$8&gt;=7, INDEX(INDIRECT($AF$2&amp;"!$A:$A"), MATCH($AF77, INDIRECT($AF$2&amp;"!$A:$A"), 0) +1),"-")</f>
        <v>-</v>
      </c>
    </row>
    <row r="86" spans="2:32" x14ac:dyDescent="0.4">
      <c r="W86" s="3" t="s">
        <v>75</v>
      </c>
      <c r="X86" s="9" t="s">
        <v>421</v>
      </c>
      <c r="Y86" s="11" t="s">
        <v>75</v>
      </c>
      <c r="Z86" s="27">
        <f>$Z$9</f>
        <v>500.01300874967268</v>
      </c>
      <c r="AA86" s="27">
        <f>$U$9+$Z$86</f>
        <v>-649.9609912503272</v>
      </c>
      <c r="AC86" s="3">
        <f t="shared" si="0"/>
        <v>86</v>
      </c>
      <c r="AD86" s="37" t="s">
        <v>157</v>
      </c>
      <c r="AE86" s="45" t="str">
        <f>IF($O$8&gt;=8,"λj ≦ q+5pz &lt; λj+1 の λj+1", "-")</f>
        <v>-</v>
      </c>
      <c r="AF86" s="36" t="str" cm="1">
        <f t="array" aca="1" ref="AF86" ca="1">IF($O$8&gt;=8, INDEX(INDIRECT($AF$2&amp;"!$A:$A"), MATCH($AF78, INDIRECT($AF$2&amp;"!$A:$A"), 0) +1),"-")</f>
        <v>-</v>
      </c>
    </row>
    <row r="87" spans="2:32" x14ac:dyDescent="0.4">
      <c r="W87" s="3" t="s">
        <v>445</v>
      </c>
      <c r="X87" s="9" t="s">
        <v>422</v>
      </c>
      <c r="Y87" s="11" t="s">
        <v>75</v>
      </c>
      <c r="Z87" s="27">
        <f>$Z$4</f>
        <v>390</v>
      </c>
      <c r="AA87" s="44"/>
      <c r="AC87" s="3">
        <f t="shared" si="0"/>
        <v>87</v>
      </c>
      <c r="AD87" s="37" t="s">
        <v>158</v>
      </c>
      <c r="AE87" s="45" t="s">
        <v>160</v>
      </c>
      <c r="AF87" s="36" cm="1">
        <f t="array" aca="1" ref="AF87" ca="1">INDEX(INDIRECT($AF$2&amp;"!$A:$A"), MATCH($AF79, INDIRECT($AF$2&amp;"!$A:$A"), 0) +1)</f>
        <v>25</v>
      </c>
    </row>
    <row r="88" spans="2:32" x14ac:dyDescent="0.4">
      <c r="W88" s="3" t="s">
        <v>448</v>
      </c>
      <c r="X88" s="9" t="s">
        <v>4</v>
      </c>
      <c r="Y88" s="11" t="s">
        <v>74</v>
      </c>
      <c r="Z88" s="27">
        <f>$C$8</f>
        <v>6933.25</v>
      </c>
      <c r="AC88" s="3">
        <f t="shared" si="0"/>
        <v>88</v>
      </c>
      <c r="AD88" s="37" t="s">
        <v>159</v>
      </c>
      <c r="AE88" s="45" t="s">
        <v>87</v>
      </c>
      <c r="AF88" s="36" cm="1">
        <f t="array" aca="1" ref="AF88" ca="1">INDEX(INDIRECT($AF$2&amp;"!$A:$A"), MATCH($AF80, INDIRECT($AF$2&amp;"!$A:$A"), 0) +1)</f>
        <v>25</v>
      </c>
    </row>
    <row r="89" spans="2:32" x14ac:dyDescent="0.4">
      <c r="B89" s="4"/>
      <c r="C89" s="90"/>
      <c r="W89" s="3" t="s">
        <v>449</v>
      </c>
      <c r="X89" s="9" t="s">
        <v>412</v>
      </c>
      <c r="Y89" s="11" t="s">
        <v>74</v>
      </c>
      <c r="Z89" s="27">
        <f>$C$20</f>
        <v>7.0000000000000007E-2</v>
      </c>
      <c r="AA89" s="5"/>
      <c r="AC89" s="3">
        <f t="shared" si="0"/>
        <v>89</v>
      </c>
      <c r="AD89" s="37" t="s">
        <v>88</v>
      </c>
      <c r="AE89" s="45" t="str">
        <f>IF($O$8&gt;=3,"q-λj","")</f>
        <v/>
      </c>
      <c r="AF89" s="36" t="str">
        <f>IF($O$8&gt;=3,$O$3-$AF$73, "-")</f>
        <v>-</v>
      </c>
    </row>
    <row r="90" spans="2:32" x14ac:dyDescent="0.4">
      <c r="Z90" s="5"/>
      <c r="AA90" s="5"/>
      <c r="AC90" s="3">
        <f t="shared" si="0"/>
        <v>90</v>
      </c>
      <c r="AD90" s="37" t="s">
        <v>163</v>
      </c>
      <c r="AE90" s="45" t="str">
        <f>IF($O$8&gt;=4,"q+pz-λj","")</f>
        <v/>
      </c>
      <c r="AF90" s="36" t="str">
        <f>IF($O$8&gt;=4,$O$3+$O$4-$AF$74, "-")</f>
        <v>-</v>
      </c>
    </row>
    <row r="91" spans="2:32" x14ac:dyDescent="0.4">
      <c r="X91" s="4" t="s">
        <v>427</v>
      </c>
      <c r="Y91" s="6"/>
      <c r="Z91" s="5"/>
      <c r="AC91" s="3">
        <f t="shared" si="0"/>
        <v>91</v>
      </c>
      <c r="AD91" s="37" t="s">
        <v>164</v>
      </c>
      <c r="AE91" s="45" t="str">
        <f>IF($O$8&gt;=5,"q+2pz-λj","")</f>
        <v/>
      </c>
      <c r="AF91" s="36" t="str">
        <f>IF($O$8&gt;=5,$O$3+2*$O$4-$AF$75, "-")</f>
        <v>-</v>
      </c>
    </row>
    <row r="92" spans="2:32" x14ac:dyDescent="0.4">
      <c r="W92" s="3" t="s">
        <v>463</v>
      </c>
      <c r="X92" s="9" t="s">
        <v>360</v>
      </c>
      <c r="Y92" s="11" t="s">
        <v>74</v>
      </c>
      <c r="Z92" s="57">
        <f>$U$37</f>
        <v>130002</v>
      </c>
      <c r="AC92" s="3">
        <f t="shared" si="0"/>
        <v>92</v>
      </c>
      <c r="AD92" s="37" t="s">
        <v>165</v>
      </c>
      <c r="AE92" s="45" t="str">
        <f>IF($O$8&gt;=6,"q+3pz-λj","")</f>
        <v/>
      </c>
      <c r="AF92" s="36" t="str">
        <f>IF($O$8&gt;=6,$O$3+3*$O$4-$AF$76, "-")</f>
        <v>-</v>
      </c>
    </row>
    <row r="93" spans="2:32" x14ac:dyDescent="0.4">
      <c r="W93" s="3" t="s">
        <v>77</v>
      </c>
      <c r="X93" s="9" t="s">
        <v>428</v>
      </c>
      <c r="Y93" s="11" t="s">
        <v>77</v>
      </c>
      <c r="Z93" s="27">
        <f ca="1">$AF$114</f>
        <v>133.97746841009109</v>
      </c>
      <c r="AC93" s="3">
        <f t="shared" si="0"/>
        <v>93</v>
      </c>
      <c r="AD93" s="37" t="s">
        <v>166</v>
      </c>
      <c r="AE93" s="45" t="str">
        <f>IF($O$8&gt;=7,"q+4pz-λj","-")</f>
        <v>-</v>
      </c>
      <c r="AF93" s="36" t="str">
        <f>IF($O$8&gt;=7,$O$3+4*$O$4-$AF$77, "-")</f>
        <v>-</v>
      </c>
    </row>
    <row r="94" spans="2:32" x14ac:dyDescent="0.4">
      <c r="W94" s="3" t="s">
        <v>75</v>
      </c>
      <c r="X94" s="9" t="s">
        <v>421</v>
      </c>
      <c r="Y94" s="11" t="s">
        <v>75</v>
      </c>
      <c r="Z94" s="27">
        <f>$Z$9</f>
        <v>500.01300874967268</v>
      </c>
      <c r="AA94" s="27">
        <f>$U$9+$Z$94</f>
        <v>-649.9609912503272</v>
      </c>
      <c r="AC94" s="3">
        <f t="shared" si="0"/>
        <v>94</v>
      </c>
      <c r="AD94" s="37" t="s">
        <v>167</v>
      </c>
      <c r="AE94" s="45" t="str">
        <f>IF($O$8&gt;=8,"q+5pz-λj","-")</f>
        <v>-</v>
      </c>
      <c r="AF94" s="36" t="str">
        <f>IF($O$8&gt;=8,$O$3+5*$O$4-$AF$78, "-")</f>
        <v>-</v>
      </c>
    </row>
    <row r="95" spans="2:32" x14ac:dyDescent="0.4">
      <c r="W95" s="3" t="s">
        <v>449</v>
      </c>
      <c r="X95" s="9" t="s">
        <v>412</v>
      </c>
      <c r="Y95" s="11" t="s">
        <v>74</v>
      </c>
      <c r="Z95" s="27">
        <f>$C$20</f>
        <v>7.0000000000000007E-2</v>
      </c>
      <c r="AA95" s="5"/>
      <c r="AC95" s="3">
        <f t="shared" si="0"/>
        <v>95</v>
      </c>
      <c r="AD95" s="37" t="s">
        <v>168</v>
      </c>
      <c r="AE95" s="45" t="s">
        <v>168</v>
      </c>
      <c r="AF95" s="36">
        <f ca="1">$O$3+($O$8-2)*$O$4-$AF$79</f>
        <v>0</v>
      </c>
    </row>
    <row r="96" spans="2:32" x14ac:dyDescent="0.4">
      <c r="B96" s="4"/>
      <c r="C96" s="90"/>
      <c r="Z96" s="5"/>
      <c r="AA96" s="5"/>
      <c r="AC96" s="3">
        <f t="shared" si="0"/>
        <v>96</v>
      </c>
      <c r="AD96" s="37" t="s">
        <v>90</v>
      </c>
      <c r="AE96" s="45" t="s">
        <v>90</v>
      </c>
      <c r="AF96" s="36">
        <f ca="1">$O$3+($O$8-1)*$O$4-$AF$80</f>
        <v>0</v>
      </c>
    </row>
    <row r="97" spans="23:32" x14ac:dyDescent="0.4">
      <c r="X97" s="70" t="s">
        <v>536</v>
      </c>
      <c r="Y97" s="11" t="s">
        <v>77</v>
      </c>
      <c r="Z97" s="27" t="s">
        <v>528</v>
      </c>
      <c r="AA97" s="27" t="s">
        <v>537</v>
      </c>
      <c r="AC97" s="3">
        <f t="shared" si="0"/>
        <v>97</v>
      </c>
      <c r="AD97" s="37" t="s">
        <v>89</v>
      </c>
      <c r="AE97" s="45" t="str">
        <f>IF($O$8&gt;=3, "λj+1-q", "-")</f>
        <v>-</v>
      </c>
      <c r="AF97" s="36" t="str">
        <f>IF($O$8&gt;=3,$AF$81-$O$3, "-")</f>
        <v>-</v>
      </c>
    </row>
    <row r="98" spans="23:32" x14ac:dyDescent="0.4">
      <c r="Z98" s="5"/>
      <c r="AA98" s="5"/>
      <c r="AC98" s="3">
        <f t="shared" si="0"/>
        <v>98</v>
      </c>
      <c r="AD98" s="37" t="s">
        <v>169</v>
      </c>
      <c r="AE98" s="45" t="str">
        <f>IF($O$8&gt;=4, "λj+1-q-pz", "-")</f>
        <v>-</v>
      </c>
      <c r="AF98" s="36" t="str">
        <f>IF($O$8&gt;=4,$AF$82-$O$3-$O$4, "-")</f>
        <v>-</v>
      </c>
    </row>
    <row r="99" spans="23:32" x14ac:dyDescent="0.4">
      <c r="X99" s="4" t="s">
        <v>513</v>
      </c>
      <c r="Y99" s="6"/>
      <c r="Z99" s="5"/>
      <c r="AC99" s="3">
        <f t="shared" ref="AC99:AC196" si="2">ROW(AC99)</f>
        <v>99</v>
      </c>
      <c r="AD99" s="37" t="s">
        <v>170</v>
      </c>
      <c r="AE99" s="45" t="str">
        <f>IF($O$8&gt;=5, "λj+1-q-2pz", "-")</f>
        <v>-</v>
      </c>
      <c r="AF99" s="36" t="str">
        <f>IF($O$8&gt;=5,$AF$83-$O$3-2*$O$4, "-")</f>
        <v>-</v>
      </c>
    </row>
    <row r="100" spans="23:32" x14ac:dyDescent="0.4">
      <c r="W100" s="3" t="s">
        <v>463</v>
      </c>
      <c r="X100" s="9" t="s">
        <v>360</v>
      </c>
      <c r="Y100" s="11" t="s">
        <v>74</v>
      </c>
      <c r="Z100" s="57" t="str">
        <f>IF(AND($I$27&lt;&gt;0, $I$11&lt;&gt;1), $U$35, "")</f>
        <v/>
      </c>
      <c r="AC100" s="3">
        <f t="shared" si="2"/>
        <v>100</v>
      </c>
      <c r="AD100" s="37" t="s">
        <v>171</v>
      </c>
      <c r="AE100" s="45" t="str">
        <f>IF($O$8&gt;=6, "λj+1-q-3pz", "-")</f>
        <v>-</v>
      </c>
      <c r="AF100" s="36" t="str">
        <f>IF($O$8&gt;=6,$AF$84-$O$3-3*$O$4, "-")</f>
        <v>-</v>
      </c>
    </row>
    <row r="101" spans="23:32" x14ac:dyDescent="0.4">
      <c r="W101" s="3" t="s">
        <v>78</v>
      </c>
      <c r="X101" s="9" t="s">
        <v>32</v>
      </c>
      <c r="Y101" s="11" t="s">
        <v>78</v>
      </c>
      <c r="Z101" s="27" t="str">
        <f>IF($I$26=4, "#0", $Z$186)</f>
        <v>#0</v>
      </c>
      <c r="AA101" s="43"/>
      <c r="AC101" s="3">
        <f t="shared" si="2"/>
        <v>101</v>
      </c>
      <c r="AD101" s="37" t="s">
        <v>172</v>
      </c>
      <c r="AE101" s="45" t="str">
        <f>IF($O$8&gt;=7, "λj+1-q-4pz", "-")</f>
        <v>-</v>
      </c>
      <c r="AF101" s="36" t="str">
        <f>IF($O$8&gt;=7,$AF$85-$O$3-4*$O$4, "-")</f>
        <v>-</v>
      </c>
    </row>
    <row r="102" spans="23:32" x14ac:dyDescent="0.4">
      <c r="W102" s="3" t="s">
        <v>454</v>
      </c>
      <c r="X102" s="9" t="s">
        <v>57</v>
      </c>
      <c r="Y102" s="11" t="s">
        <v>78</v>
      </c>
      <c r="Z102" s="27">
        <f>$AF$16</f>
        <v>155.5</v>
      </c>
      <c r="AA102" s="60"/>
      <c r="AC102" s="3">
        <f t="shared" si="2"/>
        <v>102</v>
      </c>
      <c r="AD102" s="37" t="s">
        <v>173</v>
      </c>
      <c r="AE102" s="45" t="str">
        <f>IF($O$8&gt;=8, "λj+1-q-5pz", "-")</f>
        <v>-</v>
      </c>
      <c r="AF102" s="36" t="str">
        <f>IF($O$8&gt;=8,$AF$86-$O$3-5*$O$4, "-")</f>
        <v>-</v>
      </c>
    </row>
    <row r="103" spans="23:32" x14ac:dyDescent="0.4">
      <c r="W103" s="3" t="s">
        <v>75</v>
      </c>
      <c r="X103" s="9" t="s">
        <v>421</v>
      </c>
      <c r="Y103" s="11" t="s">
        <v>75</v>
      </c>
      <c r="Z103" s="27">
        <f>$Z$9</f>
        <v>500.01300874967268</v>
      </c>
      <c r="AA103" s="27">
        <f>$U$9+$Z$103</f>
        <v>-649.9609912503272</v>
      </c>
      <c r="AC103" s="3">
        <f t="shared" si="2"/>
        <v>103</v>
      </c>
      <c r="AD103" s="37" t="s">
        <v>174</v>
      </c>
      <c r="AE103" s="45" t="s">
        <v>174</v>
      </c>
      <c r="AF103" s="2">
        <f ca="1">$AF$87-$O$3-($O$8-2)*$O$4</f>
        <v>25</v>
      </c>
    </row>
    <row r="104" spans="23:32" x14ac:dyDescent="0.4">
      <c r="W104" s="3" t="s">
        <v>449</v>
      </c>
      <c r="X104" s="9" t="s">
        <v>30</v>
      </c>
      <c r="Y104" s="11" t="s">
        <v>75</v>
      </c>
      <c r="Z104" s="27">
        <f>$Z$195</f>
        <v>10</v>
      </c>
      <c r="AA104" s="60"/>
      <c r="AC104" s="3">
        <f t="shared" si="2"/>
        <v>104</v>
      </c>
      <c r="AD104" s="37" t="s">
        <v>116</v>
      </c>
      <c r="AE104" s="45" t="s">
        <v>116</v>
      </c>
      <c r="AF104" s="2">
        <f ca="1">$AF$88-$O$3-($O$8-1)*$O$4</f>
        <v>25</v>
      </c>
    </row>
    <row r="105" spans="23:32" x14ac:dyDescent="0.4">
      <c r="W105" s="3" t="s">
        <v>473</v>
      </c>
      <c r="X105" s="9" t="s">
        <v>31</v>
      </c>
      <c r="Y105" s="11" t="s">
        <v>75</v>
      </c>
      <c r="Z105" s="27">
        <f>$Z$196</f>
        <v>8</v>
      </c>
      <c r="AA105" s="60"/>
      <c r="AC105" s="3">
        <f t="shared" si="2"/>
        <v>105</v>
      </c>
      <c r="AD105" s="37" t="s">
        <v>175</v>
      </c>
      <c r="AE105" s="45" t="str">
        <f>IF($O$8&gt;=3,"1列目湾曲中心X","-")</f>
        <v>-</v>
      </c>
      <c r="AF105" s="38" t="str">
        <f>IF($O$8&gt;=3,SQRT($C$8^2-$AF$65^2),"-")</f>
        <v>-</v>
      </c>
    </row>
    <row r="106" spans="23:32" x14ac:dyDescent="0.4">
      <c r="W106" s="3" t="s">
        <v>450</v>
      </c>
      <c r="X106" s="9" t="s">
        <v>514</v>
      </c>
      <c r="Y106" s="11" t="s">
        <v>78</v>
      </c>
      <c r="Z106" s="27">
        <f>$I$32+($J$32+$K$32)/2</f>
        <v>0</v>
      </c>
      <c r="AA106" s="60"/>
      <c r="AC106" s="3">
        <f t="shared" si="2"/>
        <v>106</v>
      </c>
      <c r="AD106" s="37" t="s">
        <v>176</v>
      </c>
      <c r="AE106" s="45" t="str">
        <f>IF($O$8&gt;=4,"2列目湾曲中心X","-")</f>
        <v>-</v>
      </c>
      <c r="AF106" s="38" t="str">
        <f>IF($O$8&gt;=4,SQRT($C$8^2-$AF$66^2),"-")</f>
        <v>-</v>
      </c>
    </row>
    <row r="107" spans="23:32" x14ac:dyDescent="0.4">
      <c r="X107" s="70" t="s">
        <v>531</v>
      </c>
      <c r="Y107" s="11" t="s">
        <v>78</v>
      </c>
      <c r="Z107" s="27" t="s">
        <v>532</v>
      </c>
      <c r="AA107" s="27" t="s">
        <v>527</v>
      </c>
      <c r="AC107" s="3">
        <f t="shared" si="2"/>
        <v>107</v>
      </c>
      <c r="AD107" s="37" t="s">
        <v>177</v>
      </c>
      <c r="AE107" s="45" t="str">
        <f>IF($O$8&gt;=5,"3列目湾曲中心X","-")</f>
        <v>-</v>
      </c>
      <c r="AF107" s="38" t="str">
        <f>IF($O$8&gt;=5,SQRT($C$8^2-$AF$67^2),"-")</f>
        <v>-</v>
      </c>
    </row>
    <row r="108" spans="23:32" x14ac:dyDescent="0.4">
      <c r="Z108" s="5"/>
      <c r="AA108" s="5"/>
      <c r="AC108" s="3">
        <f t="shared" si="2"/>
        <v>108</v>
      </c>
      <c r="AD108" s="37" t="s">
        <v>178</v>
      </c>
      <c r="AE108" s="45" t="str">
        <f>IF($O$8&gt;=6,"4列目湾曲中心X","-")</f>
        <v>-</v>
      </c>
      <c r="AF108" s="38" t="str">
        <f>IF($O$8&gt;=6,SQRT($C$8^2-$AF$68^2),"-")</f>
        <v>-</v>
      </c>
    </row>
    <row r="109" spans="23:32" x14ac:dyDescent="0.4">
      <c r="X109" s="4" t="s">
        <v>519</v>
      </c>
      <c r="Y109" s="6"/>
      <c r="Z109" s="5"/>
      <c r="AC109" s="3">
        <f t="shared" si="2"/>
        <v>109</v>
      </c>
      <c r="AD109" s="37" t="s">
        <v>179</v>
      </c>
      <c r="AE109" s="45" t="str">
        <f>IF($O$8&gt;=7,"5列目湾曲中心X","-")</f>
        <v>-</v>
      </c>
      <c r="AF109" s="38" t="str">
        <f>IF($O$8&gt;=7,SQRT($C$8^2-$AF$69^2),"-")</f>
        <v>-</v>
      </c>
    </row>
    <row r="110" spans="23:32" x14ac:dyDescent="0.4">
      <c r="W110" s="3" t="s">
        <v>463</v>
      </c>
      <c r="X110" s="9" t="s">
        <v>360</v>
      </c>
      <c r="Y110" s="11" t="s">
        <v>74</v>
      </c>
      <c r="Z110" s="57">
        <f>IF($I$22&lt;&gt;1, $U$34, "")</f>
        <v>110002</v>
      </c>
      <c r="AC110" s="3">
        <f t="shared" si="2"/>
        <v>110</v>
      </c>
      <c r="AD110" s="37" t="s">
        <v>180</v>
      </c>
      <c r="AE110" s="45" t="str">
        <f>IF($O$8&gt;=8,"6列目湾曲中心X","-")</f>
        <v>-</v>
      </c>
      <c r="AF110" s="38" t="str">
        <f>IF($O$8&gt;=8,SQRT($C$8^2-$AF$70^2),"-")</f>
        <v>-</v>
      </c>
    </row>
    <row r="111" spans="23:32" x14ac:dyDescent="0.4">
      <c r="W111" s="3" t="s">
        <v>77</v>
      </c>
      <c r="X111" s="9" t="s">
        <v>8</v>
      </c>
      <c r="Y111" s="11" t="s">
        <v>77</v>
      </c>
      <c r="Z111" s="27">
        <f>$AF$17</f>
        <v>154</v>
      </c>
      <c r="AC111" s="3">
        <f t="shared" si="2"/>
        <v>111</v>
      </c>
      <c r="AD111" s="37" t="s">
        <v>181</v>
      </c>
      <c r="AE111" s="45" t="s">
        <v>183</v>
      </c>
      <c r="AF111" s="39">
        <f>SQRT($C$8^2-$AF$71^2)</f>
        <v>6922.2724276425297</v>
      </c>
    </row>
    <row r="112" spans="23:32" x14ac:dyDescent="0.4">
      <c r="W112" s="3" t="s">
        <v>75</v>
      </c>
      <c r="X112" s="9" t="s">
        <v>421</v>
      </c>
      <c r="Y112" s="11" t="s">
        <v>75</v>
      </c>
      <c r="Z112" s="27">
        <f>$Z$9</f>
        <v>500.01300874967268</v>
      </c>
      <c r="AA112" s="27">
        <f>$U$9+$Z$103</f>
        <v>-649.9609912503272</v>
      </c>
      <c r="AC112" s="3">
        <f t="shared" si="2"/>
        <v>112</v>
      </c>
      <c r="AD112" s="37" t="s">
        <v>182</v>
      </c>
      <c r="AE112" s="45" t="s">
        <v>184</v>
      </c>
      <c r="AF112" s="39">
        <f>SQRT($C$8^2-$AF$72^2)</f>
        <v>6922.2724276425297</v>
      </c>
    </row>
    <row r="113" spans="23:32" x14ac:dyDescent="0.4">
      <c r="W113" s="3" t="s">
        <v>449</v>
      </c>
      <c r="X113" s="9" t="s">
        <v>30</v>
      </c>
      <c r="Y113" s="11" t="s">
        <v>75</v>
      </c>
      <c r="Z113" s="27">
        <f>$Z$195</f>
        <v>10</v>
      </c>
      <c r="AA113" s="60"/>
      <c r="AC113" s="3">
        <f t="shared" si="2"/>
        <v>113</v>
      </c>
      <c r="AD113" s="37" t="s">
        <v>131</v>
      </c>
      <c r="AE113" s="46" t="s">
        <v>323</v>
      </c>
      <c r="AF113" s="36">
        <f ca="1">INDEX(INDIRECT($AF$2&amp;"!B:B"), MATCH(0, INDIRECT($AF$2&amp;"!A:A"), 0))</f>
        <v>135.4999396420242</v>
      </c>
    </row>
    <row r="114" spans="23:32" x14ac:dyDescent="0.4">
      <c r="W114" s="3" t="s">
        <v>473</v>
      </c>
      <c r="X114" s="9" t="s">
        <v>31</v>
      </c>
      <c r="Y114" s="11" t="s">
        <v>75</v>
      </c>
      <c r="Z114" s="27">
        <f>$Z$196</f>
        <v>8</v>
      </c>
      <c r="AA114" s="60"/>
      <c r="AC114" s="3">
        <f>ROW(AC114)</f>
        <v>114</v>
      </c>
      <c r="AD114" s="37" t="s">
        <v>479</v>
      </c>
      <c r="AE114" s="46" t="s">
        <v>480</v>
      </c>
      <c r="AF114" s="36">
        <f ca="1">INDEX(INDIRECT($AF$2&amp;"!C:C"), MATCH(0, INDIRECT($AF$2&amp;"!A:A"), 0))</f>
        <v>133.97746841009109</v>
      </c>
    </row>
    <row r="115" spans="23:32" x14ac:dyDescent="0.4">
      <c r="X115" s="70" t="s">
        <v>533</v>
      </c>
      <c r="Y115" s="11" t="s">
        <v>77</v>
      </c>
      <c r="Z115" s="27" t="s">
        <v>534</v>
      </c>
      <c r="AA115" s="27" t="s">
        <v>528</v>
      </c>
      <c r="AC115" s="3">
        <f t="shared" si="2"/>
        <v>115</v>
      </c>
      <c r="AE115" s="46" t="s">
        <v>503</v>
      </c>
      <c r="AF115" s="36">
        <f ca="1">INDEX(INDIRECT($AF$2&amp;"!D:D"), MATCH(0, INDIRECT($AF$2&amp;"!A:A"), 0))</f>
        <v>6</v>
      </c>
    </row>
    <row r="116" spans="23:32" x14ac:dyDescent="0.4">
      <c r="Z116" s="5"/>
      <c r="AA116" s="5"/>
      <c r="AC116" s="3">
        <f t="shared" si="2"/>
        <v>116</v>
      </c>
      <c r="AD116" s="37" t="s">
        <v>322</v>
      </c>
      <c r="AE116" s="46" t="s">
        <v>324</v>
      </c>
      <c r="AF116" s="2">
        <f ca="1">INDEX(INDIRECT($AF$2&amp;"!B:B"), MATCH(ROUND($Z$4+$Z$5, 0), INDIRECT($AF$2&amp;"!A:A"), 0))</f>
        <v>133.5</v>
      </c>
    </row>
    <row r="117" spans="23:32" x14ac:dyDescent="0.4">
      <c r="X117" s="28" t="s">
        <v>487</v>
      </c>
      <c r="Z117" s="5"/>
      <c r="AC117" s="3">
        <f t="shared" si="2"/>
        <v>117</v>
      </c>
      <c r="AD117" s="37" t="s">
        <v>481</v>
      </c>
      <c r="AE117" s="46" t="s">
        <v>482</v>
      </c>
      <c r="AF117" s="2">
        <f ca="1">INDEX(INDIRECT($AF$2&amp;"!C:C"), MATCH(ROUND($Z$4+$Z$5, 0), INDIRECT($AF$2&amp;"!A:A"), 0))</f>
        <v>132</v>
      </c>
    </row>
    <row r="118" spans="23:32" x14ac:dyDescent="0.4">
      <c r="W118" s="3" t="s">
        <v>463</v>
      </c>
      <c r="X118" s="9" t="s">
        <v>360</v>
      </c>
      <c r="Y118" s="11" t="s">
        <v>74</v>
      </c>
      <c r="Z118" s="57">
        <f>$U$41</f>
        <v>210003</v>
      </c>
      <c r="AC118" s="3">
        <f t="shared" si="2"/>
        <v>118</v>
      </c>
      <c r="AE118" s="46" t="s">
        <v>504</v>
      </c>
      <c r="AF118" s="2">
        <f ca="1">INDEX(INDIRECT($AF$2&amp;"!D:D"), MATCH(ROUND($Z$4+$Z$5, 0), INDIRECT($AF$2&amp;"!A:A"), 0))</f>
        <v>6</v>
      </c>
    </row>
    <row r="119" spans="23:32" x14ac:dyDescent="0.4">
      <c r="W119" s="3" t="s">
        <v>446</v>
      </c>
      <c r="X119" s="9" t="s">
        <v>412</v>
      </c>
      <c r="Y119" s="11" t="s">
        <v>74</v>
      </c>
      <c r="Z119" s="27">
        <f>$C$20</f>
        <v>7.0000000000000007E-2</v>
      </c>
      <c r="AA119" s="5"/>
      <c r="AC119" s="3">
        <f t="shared" si="2"/>
        <v>119</v>
      </c>
      <c r="AD119" s="37" t="s">
        <v>185</v>
      </c>
      <c r="AE119" s="45" t="str">
        <f>IF($O$8&gt;=3,"λj ≦ q &lt; λj+1 の wAj", "-")</f>
        <v>-</v>
      </c>
      <c r="AF119" s="36" t="str">
        <f ca="1">IF($O$8&gt;=3, INDEX(INDIRECT($AF$2&amp;"!B:B"), MATCH($AF$73, INDIRECT($AF$2&amp;"!A:A"), 0)),"-")</f>
        <v>-</v>
      </c>
    </row>
    <row r="120" spans="23:32" x14ac:dyDescent="0.4">
      <c r="W120" s="3" t="s">
        <v>75</v>
      </c>
      <c r="X120" s="9" t="s">
        <v>421</v>
      </c>
      <c r="Y120" s="11" t="s">
        <v>75</v>
      </c>
      <c r="Z120" s="27">
        <f>$Z$9</f>
        <v>500.01300874967268</v>
      </c>
      <c r="AA120" s="27">
        <f>$U$9+$Z$120</f>
        <v>-649.9609912503272</v>
      </c>
      <c r="AC120" s="3">
        <f t="shared" si="2"/>
        <v>120</v>
      </c>
      <c r="AD120" s="37" t="s">
        <v>186</v>
      </c>
      <c r="AE120" s="45" t="str">
        <f>IF($O$8&gt;=4,"λj ≦ q+pz &lt; λj+1 の wAj", "-")</f>
        <v>-</v>
      </c>
      <c r="AF120" s="36" t="str">
        <f ca="1">IF($O$8&gt;=4, INDEX(INDIRECT($AF$2&amp;"!B:B"), MATCH($AF$74, INDIRECT($AF$2&amp;"!A:A"), 0)),"-")</f>
        <v>-</v>
      </c>
    </row>
    <row r="121" spans="23:32" x14ac:dyDescent="0.4">
      <c r="W121" s="3" t="s">
        <v>445</v>
      </c>
      <c r="X121" s="9" t="s">
        <v>422</v>
      </c>
      <c r="Y121" s="11" t="s">
        <v>75</v>
      </c>
      <c r="Z121" s="27">
        <f>$Z$4</f>
        <v>390</v>
      </c>
      <c r="AA121" s="44"/>
      <c r="AC121" s="3">
        <f t="shared" si="2"/>
        <v>121</v>
      </c>
      <c r="AD121" s="37" t="s">
        <v>187</v>
      </c>
      <c r="AE121" s="45" t="str">
        <f>IF($O$8&gt;=5,"λj ≦ q+2pz &lt; λj+1 の wAj", "-")</f>
        <v>-</v>
      </c>
      <c r="AF121" s="36" t="str">
        <f ca="1">IF($O$8&gt;=5, INDEX(INDIRECT($AF$2&amp;"!B:B"), MATCH($AF$75, INDIRECT($AF$2&amp;"!A:A"), 0)),"-")</f>
        <v>-</v>
      </c>
    </row>
    <row r="122" spans="23:32" x14ac:dyDescent="0.4">
      <c r="W122" s="3" t="s">
        <v>451</v>
      </c>
      <c r="X122" s="9" t="s">
        <v>374</v>
      </c>
      <c r="Y122" s="11" t="s">
        <v>78</v>
      </c>
      <c r="Z122" s="27">
        <f>$O$6</f>
        <v>0</v>
      </c>
      <c r="AC122" s="3">
        <f t="shared" si="2"/>
        <v>122</v>
      </c>
      <c r="AD122" s="37" t="s">
        <v>188</v>
      </c>
      <c r="AE122" s="45" t="str">
        <f>IF($O$8&gt;=6,"λj ≦ q+3pz &lt; λj+1 の wAj", "-")</f>
        <v>-</v>
      </c>
      <c r="AF122" s="36" t="str">
        <f ca="1">IF($O$8&gt;=6, INDEX(INDIRECT($AF$2&amp;"!B:B"), MATCH($AF$76, INDIRECT($AF$2&amp;"!A:A"), 0)),"-")</f>
        <v>-</v>
      </c>
    </row>
    <row r="123" spans="23:32" x14ac:dyDescent="0.4">
      <c r="W123" s="3" t="s">
        <v>452</v>
      </c>
      <c r="X123" s="9" t="s">
        <v>376</v>
      </c>
      <c r="Y123" s="11" t="s">
        <v>78</v>
      </c>
      <c r="Z123" s="27">
        <f>$O$7</f>
        <v>0</v>
      </c>
      <c r="AC123" s="3">
        <f t="shared" si="2"/>
        <v>123</v>
      </c>
      <c r="AD123" s="37" t="s">
        <v>189</v>
      </c>
      <c r="AE123" s="45" t="str">
        <f>IF($O$8&gt;=7,"λj ≦ q+4pz &lt; λj+1 の wAj", "-")</f>
        <v>-</v>
      </c>
      <c r="AF123" s="36" t="str">
        <f ca="1">IF($O$8&gt;=7, INDEX(INDIRECT($AF$2&amp;"!B:B"), MATCH($AF$77, INDIRECT($AF$2&amp;"!A:A"), 0)),"-")</f>
        <v>-</v>
      </c>
    </row>
    <row r="124" spans="23:32" x14ac:dyDescent="0.4">
      <c r="W124" s="3" t="s">
        <v>439</v>
      </c>
      <c r="X124" s="9" t="s">
        <v>371</v>
      </c>
      <c r="Y124" s="11" t="s">
        <v>75</v>
      </c>
      <c r="Z124" s="27">
        <f>$O$3</f>
        <v>0</v>
      </c>
      <c r="AC124" s="3">
        <f t="shared" si="2"/>
        <v>124</v>
      </c>
      <c r="AD124" s="37" t="s">
        <v>190</v>
      </c>
      <c r="AE124" s="45" t="str">
        <f>IF($O$8&gt;=8,"λj ≦ q+5pz &lt; λj+1 の wAj", "-")</f>
        <v>-</v>
      </c>
      <c r="AF124" s="36" t="str">
        <f ca="1">IF($O$8&gt;=8, INDEX(INDIRECT($AF$2&amp;"!B:B"), MATCH($AF$78, INDIRECT($AF$2&amp;"!A:A"), 0)),"-")</f>
        <v>-</v>
      </c>
    </row>
    <row r="125" spans="23:32" x14ac:dyDescent="0.4">
      <c r="W125" s="3" t="s">
        <v>450</v>
      </c>
      <c r="X125" s="9" t="s">
        <v>373</v>
      </c>
      <c r="Y125" s="11" t="s">
        <v>78</v>
      </c>
      <c r="Z125" s="27">
        <f>$O$5</f>
        <v>0</v>
      </c>
      <c r="AC125" s="3">
        <f t="shared" si="2"/>
        <v>125</v>
      </c>
      <c r="AD125" s="37" t="s">
        <v>191</v>
      </c>
      <c r="AE125" s="45" t="s">
        <v>193</v>
      </c>
      <c r="AF125" s="36">
        <f ca="1">INDEX(INDIRECT($AF$2&amp;"!B:B"), MATCH($AF$79, INDIRECT($AF$2&amp;"!A:A"), 0))</f>
        <v>135.4999396420242</v>
      </c>
    </row>
    <row r="126" spans="23:32" x14ac:dyDescent="0.4">
      <c r="W126" s="3" t="s">
        <v>453</v>
      </c>
      <c r="X126" s="9" t="s">
        <v>372</v>
      </c>
      <c r="Y126" s="11" t="s">
        <v>75</v>
      </c>
      <c r="Z126" s="27">
        <f>$O$4</f>
        <v>0</v>
      </c>
      <c r="AC126" s="3">
        <f t="shared" si="2"/>
        <v>126</v>
      </c>
      <c r="AD126" s="37" t="s">
        <v>192</v>
      </c>
      <c r="AE126" s="45" t="s">
        <v>194</v>
      </c>
      <c r="AF126" s="36">
        <f ca="1">INDEX(INDIRECT($AF$2&amp;"!B:B"), MATCH($AF$80, INDIRECT($AF$2&amp;"!A:A"), 0))</f>
        <v>135.4999396420242</v>
      </c>
    </row>
    <row r="127" spans="23:32" x14ac:dyDescent="0.4">
      <c r="W127" s="3" t="s">
        <v>449</v>
      </c>
      <c r="X127" s="9" t="s">
        <v>377</v>
      </c>
      <c r="Y127" s="11" t="s">
        <v>74</v>
      </c>
      <c r="Z127" s="57">
        <f>$O$8</f>
        <v>0</v>
      </c>
      <c r="AC127" s="3">
        <f t="shared" si="2"/>
        <v>127</v>
      </c>
      <c r="AD127" s="37" t="s">
        <v>195</v>
      </c>
      <c r="AE127" s="45" t="str">
        <f>IF($O$8&gt;=3,"λj ≦ q &lt; λj+1 の wAj+1", "-")</f>
        <v>-</v>
      </c>
      <c r="AF127" s="36" t="str">
        <f ca="1">IF($O$8&gt;=3, INDEX(INDIRECT($AF$2&amp;"!B:B"), MATCH($AF$81, INDIRECT($AF$2&amp;"!A:A"), 0)),"-")</f>
        <v>-</v>
      </c>
    </row>
    <row r="128" spans="23:32" x14ac:dyDescent="0.4">
      <c r="W128" s="3" t="s">
        <v>454</v>
      </c>
      <c r="X128" s="9" t="s">
        <v>378</v>
      </c>
      <c r="Y128" s="11" t="s">
        <v>74</v>
      </c>
      <c r="Z128" s="27">
        <f>$O$9</f>
        <v>0</v>
      </c>
      <c r="AC128" s="3">
        <f t="shared" si="2"/>
        <v>128</v>
      </c>
      <c r="AD128" s="37" t="s">
        <v>196</v>
      </c>
      <c r="AE128" s="45" t="str">
        <f>IF($O$8&gt;=4,"λj ≦ q+pz &lt; λj+1 の wAj+1", "-")</f>
        <v>-</v>
      </c>
      <c r="AF128" s="36" t="str">
        <f ca="1">IF($O$8&gt;=4, INDEX(INDIRECT($AF$2&amp;"!B:B"), MATCH($AF$82, INDIRECT($AF$2&amp;"!A:A"), 0)),"-")</f>
        <v>-</v>
      </c>
    </row>
    <row r="129" spans="23:32" x14ac:dyDescent="0.4">
      <c r="W129" s="3" t="s">
        <v>448</v>
      </c>
      <c r="X129" s="9" t="s">
        <v>4</v>
      </c>
      <c r="Y129" s="11" t="s">
        <v>74</v>
      </c>
      <c r="Z129" s="27">
        <f>$C$8</f>
        <v>6933.25</v>
      </c>
      <c r="AC129" s="3">
        <f t="shared" si="2"/>
        <v>129</v>
      </c>
      <c r="AD129" s="37" t="s">
        <v>197</v>
      </c>
      <c r="AE129" s="45" t="str">
        <f>IF($O$8&gt;=5,"λj ≦ q+2pz &lt; λj+1 の wAj+1", "-")</f>
        <v>-</v>
      </c>
      <c r="AF129" s="36" t="str">
        <f ca="1">IF($O$8&gt;=5, INDEX(INDIRECT($AF$2&amp;"!B:B"), MATCH($AF$83, INDIRECT($AF$2&amp;"!A:A"), 0)),"-")</f>
        <v>-</v>
      </c>
    </row>
    <row r="130" spans="23:32" x14ac:dyDescent="0.4">
      <c r="W130" s="3" t="s">
        <v>455</v>
      </c>
      <c r="X130" s="9" t="s">
        <v>276</v>
      </c>
      <c r="Y130" s="11" t="s">
        <v>76</v>
      </c>
      <c r="Z130" s="27">
        <f>$Z$13</f>
        <v>-0.90700000000000003</v>
      </c>
      <c r="AA130" s="43"/>
      <c r="AC130" s="3">
        <f t="shared" si="2"/>
        <v>130</v>
      </c>
      <c r="AD130" s="37" t="s">
        <v>198</v>
      </c>
      <c r="AE130" s="45" t="str">
        <f>IF($O$8&gt;=6,"λj ≦ q+3pz &lt; λj+1 の wAj+1", "-")</f>
        <v>-</v>
      </c>
      <c r="AF130" s="36" t="str">
        <f ca="1">IF($O$8&gt;=6, INDEX(INDIRECT($AF$2&amp;"!B:B"), MATCH($AF$84, INDIRECT($AF$2&amp;"!A:A"), 0)),"-")</f>
        <v>-</v>
      </c>
    </row>
    <row r="131" spans="23:32" x14ac:dyDescent="0.4">
      <c r="W131" s="3" t="s">
        <v>76</v>
      </c>
      <c r="X131" s="10" t="s">
        <v>386</v>
      </c>
      <c r="Y131" s="47" t="s">
        <v>76</v>
      </c>
      <c r="Z131" s="27" t="e">
        <f ca="1">-ROUND(DEGREES($AF$140),3)</f>
        <v>#VALUE!</v>
      </c>
      <c r="AA131" s="5"/>
      <c r="AC131" s="3">
        <f t="shared" si="2"/>
        <v>131</v>
      </c>
      <c r="AD131" s="37" t="s">
        <v>199</v>
      </c>
      <c r="AE131" s="45" t="str">
        <f>IF($O$8&gt;=7,"λj ≦ q+4pz &lt; λj+1 の wAj+1", "-")</f>
        <v>-</v>
      </c>
      <c r="AF131" s="36" t="str">
        <f ca="1">IF($O$8&gt;=7, INDEX(INDIRECT($AF$2&amp;"!B:B"), MATCH($AF$85, INDIRECT($AF$2&amp;"!A:A"), 0)),"-")</f>
        <v>-</v>
      </c>
    </row>
    <row r="132" spans="23:32" x14ac:dyDescent="0.4">
      <c r="Z132" s="5"/>
      <c r="AA132" s="5"/>
      <c r="AC132" s="3">
        <f t="shared" si="2"/>
        <v>132</v>
      </c>
      <c r="AD132" s="37" t="s">
        <v>200</v>
      </c>
      <c r="AE132" s="45" t="str">
        <f>IF($O$8&gt;=8,"λj ≦ q+5pz &lt; λj+1 の wAj+1", "-")</f>
        <v>-</v>
      </c>
      <c r="AF132" s="36" t="str">
        <f ca="1">IF($O$8&gt;=8, INDEX(INDIRECT($AF$2&amp;"!B:B"), MATCH($AF$86, INDIRECT($AF$2&amp;"!A:A"), 0)),"-")</f>
        <v>-</v>
      </c>
    </row>
    <row r="133" spans="23:32" x14ac:dyDescent="0.4">
      <c r="X133" s="28" t="s">
        <v>488</v>
      </c>
      <c r="Z133" s="5"/>
      <c r="AC133" s="3">
        <f t="shared" si="2"/>
        <v>133</v>
      </c>
      <c r="AD133" s="37" t="s">
        <v>201</v>
      </c>
      <c r="AE133" s="45" t="s">
        <v>203</v>
      </c>
      <c r="AF133" s="36">
        <f ca="1">INDEX(INDIRECT($AF$2&amp;"!B:B"), MATCH($AF$87, INDIRECT($AF$2&amp;"!A:A"), 0))</f>
        <v>135.37899248447255</v>
      </c>
    </row>
    <row r="134" spans="23:32" x14ac:dyDescent="0.4">
      <c r="W134" s="3" t="s">
        <v>446</v>
      </c>
      <c r="X134" s="9" t="s">
        <v>347</v>
      </c>
      <c r="Y134" s="11" t="s">
        <v>74</v>
      </c>
      <c r="Z134" s="57" t="e" cm="1">
        <f t="array" ref="Z134">_xlfn.IFS(AND($O$10=1, $O$11=20), $U$25, AND($O$10=1, $O$11=6.6), $U$26, AND($O$10, $O$11=15), $U$27, $O$10=2, $U$28)</f>
        <v>#N/A</v>
      </c>
      <c r="AA134" s="43"/>
      <c r="AC134" s="3">
        <f t="shared" si="2"/>
        <v>134</v>
      </c>
      <c r="AD134" s="37" t="s">
        <v>202</v>
      </c>
      <c r="AE134" s="45" t="s">
        <v>204</v>
      </c>
      <c r="AF134" s="36">
        <f ca="1">INDEX(INDIRECT($AF$2&amp;"!B:B"), MATCH($AF$88, INDIRECT($AF$2&amp;"!A:A"), 0))</f>
        <v>135.37899248447255</v>
      </c>
    </row>
    <row r="135" spans="23:32" x14ac:dyDescent="0.4">
      <c r="Z135" s="5"/>
      <c r="AA135" s="5"/>
      <c r="AC135" s="3">
        <f t="shared" si="2"/>
        <v>135</v>
      </c>
      <c r="AD135" s="37" t="s">
        <v>215</v>
      </c>
      <c r="AE135" s="45" t="s">
        <v>134</v>
      </c>
      <c r="AF135" s="2">
        <f ca="1">$C$8+$Z$327/2</f>
        <v>7001.0699698210119</v>
      </c>
    </row>
    <row r="136" spans="23:32" x14ac:dyDescent="0.4">
      <c r="X136" s="28" t="s">
        <v>489</v>
      </c>
      <c r="Z136" s="5"/>
      <c r="AC136" s="3">
        <f t="shared" si="2"/>
        <v>136</v>
      </c>
      <c r="AD136" s="37" t="s">
        <v>216</v>
      </c>
      <c r="AE136" s="45" t="s">
        <v>135</v>
      </c>
      <c r="AF136" s="2" t="e">
        <f>$C$8+$Z$328/2</f>
        <v>#VALUE!</v>
      </c>
    </row>
    <row r="137" spans="23:32" x14ac:dyDescent="0.4">
      <c r="W137" s="3" t="s">
        <v>446</v>
      </c>
      <c r="X137" s="9" t="s">
        <v>347</v>
      </c>
      <c r="Y137" s="11" t="s">
        <v>74</v>
      </c>
      <c r="Z137" s="57">
        <f>$U$17</f>
        <v>2</v>
      </c>
      <c r="AA137" s="43"/>
      <c r="AC137" s="3">
        <f t="shared" si="2"/>
        <v>137</v>
      </c>
      <c r="AD137" s="37" t="s">
        <v>219</v>
      </c>
      <c r="AE137" s="45" t="s">
        <v>393</v>
      </c>
      <c r="AF137" s="2" t="e">
        <f>SQRT($AF$136^2-$AF$65^2)</f>
        <v>#VALUE!</v>
      </c>
    </row>
    <row r="138" spans="23:32" ht="15" thickBot="1" x14ac:dyDescent="0.45">
      <c r="W138" s="3" t="s">
        <v>76</v>
      </c>
      <c r="X138" s="64" t="s">
        <v>511</v>
      </c>
      <c r="Y138" s="65" t="s">
        <v>76</v>
      </c>
      <c r="Z138" s="66">
        <f>$Z$13</f>
        <v>-0.90700000000000003</v>
      </c>
      <c r="AA138" s="27">
        <f>-$U$10+$Z$138</f>
        <v>-0.98</v>
      </c>
      <c r="AC138" s="3">
        <f t="shared" si="2"/>
        <v>138</v>
      </c>
      <c r="AD138" s="37" t="s">
        <v>220</v>
      </c>
      <c r="AE138" s="45" t="s">
        <v>393</v>
      </c>
      <c r="AF138" s="2">
        <f ca="1">SQRT($AF$135^2-$Z$4^2)</f>
        <v>6990.1989043466847</v>
      </c>
    </row>
    <row r="139" spans="23:32" ht="15" thickTop="1" x14ac:dyDescent="0.4">
      <c r="W139" s="3" t="s">
        <v>463</v>
      </c>
      <c r="X139" s="67" t="s">
        <v>360</v>
      </c>
      <c r="Y139" s="68" t="s">
        <v>74</v>
      </c>
      <c r="Z139" s="69">
        <f>$U$42</f>
        <v>410000</v>
      </c>
      <c r="AC139" s="3">
        <f t="shared" si="2"/>
        <v>139</v>
      </c>
      <c r="AD139" s="37" t="s">
        <v>117</v>
      </c>
      <c r="AE139" s="45" t="s">
        <v>117</v>
      </c>
      <c r="AF139" s="2" t="e">
        <f ca="1">IF($AF$137&gt;$AF$138, ($AF$137-$AF$138)/$O$3, 0)</f>
        <v>#VALUE!</v>
      </c>
    </row>
    <row r="140" spans="23:32" x14ac:dyDescent="0.4">
      <c r="W140" s="3" t="s">
        <v>75</v>
      </c>
      <c r="X140" s="9" t="s">
        <v>421</v>
      </c>
      <c r="Y140" s="11" t="s">
        <v>75</v>
      </c>
      <c r="Z140" s="27">
        <f>$Z$9</f>
        <v>500.01300874967268</v>
      </c>
      <c r="AA140" s="27">
        <f>$U$9+$Z$140</f>
        <v>-649.9609912503272</v>
      </c>
      <c r="AC140" s="3">
        <f t="shared" si="2"/>
        <v>140</v>
      </c>
      <c r="AD140" s="37" t="s">
        <v>118</v>
      </c>
      <c r="AE140" s="45" t="s">
        <v>431</v>
      </c>
      <c r="AF140" s="2" t="e">
        <f ca="1">ATAN($AF$139)</f>
        <v>#VALUE!</v>
      </c>
    </row>
    <row r="141" spans="23:32" x14ac:dyDescent="0.4">
      <c r="W141" s="3" t="s">
        <v>448</v>
      </c>
      <c r="X141" s="9" t="s">
        <v>512</v>
      </c>
      <c r="Y141" s="11" t="s">
        <v>74</v>
      </c>
      <c r="Z141" s="27">
        <f ca="1">$AF$115</f>
        <v>6</v>
      </c>
      <c r="AC141" s="3">
        <f t="shared" si="2"/>
        <v>141</v>
      </c>
      <c r="AD141" s="37" t="s">
        <v>118</v>
      </c>
      <c r="AE141" s="45" t="s">
        <v>432</v>
      </c>
      <c r="AF141" s="2" t="e">
        <f ca="1">-RADIANS($Z$131)</f>
        <v>#VALUE!</v>
      </c>
    </row>
    <row r="142" spans="23:32" x14ac:dyDescent="0.4">
      <c r="Z142" s="5"/>
      <c r="AA142" s="5"/>
      <c r="AC142" s="3">
        <f t="shared" si="2"/>
        <v>142</v>
      </c>
      <c r="AD142" s="37" t="s">
        <v>281</v>
      </c>
      <c r="AE142" s="45" t="s">
        <v>281</v>
      </c>
      <c r="AF142" s="2" t="e">
        <f ca="1">SIN($AF$141)</f>
        <v>#VALUE!</v>
      </c>
    </row>
    <row r="143" spans="23:32" x14ac:dyDescent="0.4">
      <c r="X143" s="4" t="s">
        <v>490</v>
      </c>
      <c r="Z143" s="25"/>
      <c r="AC143" s="3">
        <f t="shared" si="2"/>
        <v>143</v>
      </c>
      <c r="AD143" s="37" t="s">
        <v>280</v>
      </c>
      <c r="AE143" s="45" t="s">
        <v>280</v>
      </c>
      <c r="AF143" s="2" t="e">
        <f ca="1">COS($AF$141)</f>
        <v>#VALUE!</v>
      </c>
    </row>
    <row r="144" spans="23:32" x14ac:dyDescent="0.4">
      <c r="W144" s="3" t="s">
        <v>446</v>
      </c>
      <c r="X144" s="9" t="s">
        <v>347</v>
      </c>
      <c r="Y144" s="11" t="s">
        <v>74</v>
      </c>
      <c r="Z144" s="57">
        <f>IF($I$12&lt;&gt;1,$U$23,$U$24)</f>
        <v>16</v>
      </c>
      <c r="AA144" s="43"/>
      <c r="AC144" s="3">
        <f t="shared" si="2"/>
        <v>144</v>
      </c>
      <c r="AD144" s="37" t="s">
        <v>217</v>
      </c>
      <c r="AE144" s="45" t="s">
        <v>84</v>
      </c>
      <c r="AF144" s="2" t="e">
        <f>$C$8-$Z$328/2</f>
        <v>#VALUE!</v>
      </c>
    </row>
    <row r="145" spans="23:32" x14ac:dyDescent="0.4">
      <c r="W145" s="3" t="s">
        <v>463</v>
      </c>
      <c r="X145" s="9" t="s">
        <v>360</v>
      </c>
      <c r="Y145" s="11" t="s">
        <v>74</v>
      </c>
      <c r="Z145" s="57">
        <f>$U$43</f>
        <v>420000</v>
      </c>
      <c r="AC145" s="3">
        <f t="shared" si="2"/>
        <v>145</v>
      </c>
      <c r="AD145" s="37" t="s">
        <v>218</v>
      </c>
      <c r="AE145" s="45" t="s">
        <v>85</v>
      </c>
      <c r="AF145" s="2">
        <f ca="1">$C$8-$Z$329/2</f>
        <v>6865.4300301789881</v>
      </c>
    </row>
    <row r="146" spans="23:32" x14ac:dyDescent="0.4">
      <c r="W146" s="3" t="s">
        <v>78</v>
      </c>
      <c r="X146" s="9" t="s">
        <v>433</v>
      </c>
      <c r="Y146" s="11" t="s">
        <v>78</v>
      </c>
      <c r="Z146" s="27">
        <f>$AF$22</f>
        <v>154</v>
      </c>
      <c r="AA146" s="43"/>
      <c r="AC146" s="3">
        <f t="shared" si="2"/>
        <v>146</v>
      </c>
      <c r="AD146" s="37" t="s">
        <v>221</v>
      </c>
      <c r="AE146" s="45" t="s">
        <v>397</v>
      </c>
      <c r="AF146" s="2">
        <f ca="1">SQRT($AF$145^2-$AF$72^2)</f>
        <v>6854.3438416294421</v>
      </c>
    </row>
    <row r="147" spans="23:32" x14ac:dyDescent="0.4">
      <c r="W147" s="3" t="s">
        <v>77</v>
      </c>
      <c r="X147" s="9" t="s">
        <v>434</v>
      </c>
      <c r="Y147" s="11" t="s">
        <v>77</v>
      </c>
      <c r="Z147" s="27">
        <f>$AF$23</f>
        <v>153</v>
      </c>
      <c r="AA147" s="43"/>
      <c r="AC147" s="3">
        <f t="shared" si="2"/>
        <v>147</v>
      </c>
      <c r="AD147" s="37" t="s">
        <v>222</v>
      </c>
      <c r="AE147" s="45" t="s">
        <v>397</v>
      </c>
      <c r="AF147" s="2" t="e">
        <f>SQRT($AF$144^2-$AF$65^2)</f>
        <v>#VALUE!</v>
      </c>
    </row>
    <row r="148" spans="23:32" x14ac:dyDescent="0.4">
      <c r="W148" s="3" t="s">
        <v>454</v>
      </c>
      <c r="X148" s="9" t="s">
        <v>57</v>
      </c>
      <c r="Y148" s="11" t="s">
        <v>78</v>
      </c>
      <c r="Z148" s="27">
        <f>$AF$16</f>
        <v>155.5</v>
      </c>
      <c r="AA148" s="60"/>
      <c r="AC148" s="3">
        <f t="shared" si="2"/>
        <v>148</v>
      </c>
      <c r="AD148" s="37" t="s">
        <v>119</v>
      </c>
      <c r="AF148" s="2" t="e">
        <f ca="1">($AF146-$AF147)/($AF$65-$AF$72)</f>
        <v>#VALUE!</v>
      </c>
    </row>
    <row r="149" spans="23:32" x14ac:dyDescent="0.4">
      <c r="W149" s="3" t="s">
        <v>456</v>
      </c>
      <c r="X149" s="9" t="s">
        <v>8</v>
      </c>
      <c r="Y149" s="11" t="s">
        <v>77</v>
      </c>
      <c r="Z149" s="27">
        <f>$AF$17</f>
        <v>154</v>
      </c>
      <c r="AA149" s="60"/>
      <c r="AC149" s="3">
        <f t="shared" si="2"/>
        <v>149</v>
      </c>
      <c r="AD149" s="37" t="s">
        <v>120</v>
      </c>
      <c r="AE149" s="45" t="s">
        <v>91</v>
      </c>
      <c r="AF149" s="2" t="e">
        <f ca="1">ATAN($AF$148)</f>
        <v>#VALUE!</v>
      </c>
    </row>
    <row r="150" spans="23:32" x14ac:dyDescent="0.4">
      <c r="W150" s="3" t="s">
        <v>75</v>
      </c>
      <c r="X150" s="9" t="s">
        <v>421</v>
      </c>
      <c r="Y150" s="11" t="s">
        <v>75</v>
      </c>
      <c r="Z150" s="27">
        <f>$Z$9</f>
        <v>500.01300874967268</v>
      </c>
      <c r="AA150" s="27">
        <f>$U$9+$Z$150</f>
        <v>-649.9609912503272</v>
      </c>
      <c r="AC150" s="3">
        <f>ROW(AC150)</f>
        <v>150</v>
      </c>
      <c r="AD150" s="37" t="s">
        <v>122</v>
      </c>
      <c r="AE150" s="45" t="s">
        <v>398</v>
      </c>
      <c r="AF150" s="2">
        <f>IF(MOD($O$8, 2)=0, $O$6, $O$7)</f>
        <v>0</v>
      </c>
    </row>
    <row r="151" spans="23:32" x14ac:dyDescent="0.4">
      <c r="W151" s="3" t="s">
        <v>448</v>
      </c>
      <c r="X151" s="9" t="s">
        <v>457</v>
      </c>
      <c r="Y151" s="11" t="s">
        <v>74</v>
      </c>
      <c r="Z151" s="27">
        <f>$I$19</f>
        <v>14</v>
      </c>
      <c r="AA151" s="60"/>
      <c r="AC151" s="3">
        <f t="shared" si="2"/>
        <v>151</v>
      </c>
      <c r="AD151" s="37" t="s">
        <v>121</v>
      </c>
      <c r="AE151" s="45" t="s">
        <v>399</v>
      </c>
      <c r="AF151" s="2">
        <f>IF(MOD($O$8, 2)=0, $O$7, $O$6)</f>
        <v>0</v>
      </c>
    </row>
    <row r="152" spans="23:32" x14ac:dyDescent="0.4">
      <c r="W152" s="3" t="s">
        <v>453</v>
      </c>
      <c r="X152" s="9" t="s">
        <v>345</v>
      </c>
      <c r="Y152" s="11" t="s">
        <v>75</v>
      </c>
      <c r="Z152" s="27">
        <f>IF($I$14&lt;&gt;1, $Z$195+$Z$196, $AF$25)</f>
        <v>18</v>
      </c>
      <c r="AA152" s="60"/>
      <c r="AC152" s="3">
        <f t="shared" si="2"/>
        <v>152</v>
      </c>
      <c r="AD152" s="37" t="s">
        <v>223</v>
      </c>
      <c r="AE152" s="45" t="s">
        <v>129</v>
      </c>
      <c r="AF152" s="2">
        <f ca="1">$Z$327/2-$Z$317-$AF$150/2</f>
        <v>67.819969821012094</v>
      </c>
    </row>
    <row r="153" spans="23:32" x14ac:dyDescent="0.4">
      <c r="W153" s="3" t="s">
        <v>449</v>
      </c>
      <c r="X153" s="9" t="s">
        <v>30</v>
      </c>
      <c r="Y153" s="11" t="s">
        <v>75</v>
      </c>
      <c r="Z153" s="27">
        <f>$Z$195</f>
        <v>10</v>
      </c>
      <c r="AA153" s="60"/>
      <c r="AC153" s="3">
        <f t="shared" si="2"/>
        <v>153</v>
      </c>
      <c r="AD153" s="37" t="s">
        <v>224</v>
      </c>
      <c r="AE153" s="45" t="s">
        <v>130</v>
      </c>
      <c r="AF153" s="2">
        <f ca="1">$Z$327/2-$Z$318-$AF$151/2</f>
        <v>67.819969821012094</v>
      </c>
    </row>
    <row r="154" spans="23:32" x14ac:dyDescent="0.4">
      <c r="W154" s="3" t="s">
        <v>445</v>
      </c>
      <c r="X154" s="9" t="s">
        <v>31</v>
      </c>
      <c r="Y154" s="11" t="s">
        <v>75</v>
      </c>
      <c r="Z154" s="27">
        <f>$Z$196</f>
        <v>8</v>
      </c>
      <c r="AA154" s="60"/>
      <c r="AC154" s="3">
        <f t="shared" si="2"/>
        <v>154</v>
      </c>
      <c r="AD154" s="37" t="s">
        <v>226</v>
      </c>
      <c r="AE154" s="45" t="str">
        <f>IF($O$8&gt;=3,"λj ≦ q &lt; λj+1 の wBj", "-")</f>
        <v>-</v>
      </c>
      <c r="AF154" s="36" t="str">
        <f ca="1">IF($O$8&gt;=3, INDEX(INDIRECT($AF$2&amp;"!C:C"), MATCH($AF$73, INDIRECT($AF$2&amp;"!A:A"), 0)),"-")</f>
        <v>-</v>
      </c>
    </row>
    <row r="155" spans="23:32" x14ac:dyDescent="0.4">
      <c r="X155" s="18"/>
      <c r="Y155" s="20"/>
      <c r="Z155" s="5"/>
      <c r="AC155" s="3">
        <f t="shared" si="2"/>
        <v>155</v>
      </c>
      <c r="AD155" s="37" t="s">
        <v>227</v>
      </c>
      <c r="AE155" s="45" t="str">
        <f>IF($O$8&gt;=4,"λj ≦ q+pz &lt; λj+1 の wBj", "-")</f>
        <v>-</v>
      </c>
      <c r="AF155" s="36" t="str">
        <f ca="1">IF($O$8&gt;=4, INDEX(INDIRECT($AF$2&amp;"!C:C"), MATCH($AF$74, INDIRECT($AF$2&amp;"!A:A"), 0)),"-")</f>
        <v>-</v>
      </c>
    </row>
    <row r="156" spans="23:32" x14ac:dyDescent="0.4">
      <c r="X156" s="4" t="s">
        <v>549</v>
      </c>
      <c r="Z156" s="25"/>
      <c r="AC156" s="3">
        <f t="shared" si="2"/>
        <v>156</v>
      </c>
      <c r="AD156" s="37" t="s">
        <v>228</v>
      </c>
      <c r="AE156" s="45" t="str">
        <f>IF($O$8&gt;=5,"λj ≦ q+2pz &lt; λj+1 の wBj", "-")</f>
        <v>-</v>
      </c>
      <c r="AF156" s="36" t="str">
        <f ca="1">IF($O$8&gt;=5, INDEX(INDIRECT($AF$2&amp;"!C:C"), MATCH($AF$75, INDIRECT($AF$2&amp;"!A:A"), 0)),"-")</f>
        <v>-</v>
      </c>
    </row>
    <row r="157" spans="23:32" x14ac:dyDescent="0.4">
      <c r="W157" s="3" t="s">
        <v>446</v>
      </c>
      <c r="X157" s="9" t="s">
        <v>347</v>
      </c>
      <c r="Y157" s="11" t="s">
        <v>74</v>
      </c>
      <c r="Z157" s="57">
        <f>$U$23</f>
        <v>16</v>
      </c>
      <c r="AA157" s="43"/>
      <c r="AC157" s="3">
        <f t="shared" si="2"/>
        <v>157</v>
      </c>
      <c r="AD157" s="37" t="s">
        <v>229</v>
      </c>
      <c r="AE157" s="45" t="str">
        <f>IF($O$8&gt;=6,"λj ≦ q+3pz &lt; λj+1 の wBj", "-")</f>
        <v>-</v>
      </c>
      <c r="AF157" s="36" t="str">
        <f ca="1">IF($O$8&gt;=6, INDEX(INDIRECT($AF$2&amp;"!C:C"), MATCH($AF$76, INDIRECT($AF$2&amp;"!A:A"), 0)),"-")</f>
        <v>-</v>
      </c>
    </row>
    <row r="158" spans="23:32" x14ac:dyDescent="0.4">
      <c r="W158" s="3" t="s">
        <v>463</v>
      </c>
      <c r="X158" s="9" t="s">
        <v>360</v>
      </c>
      <c r="Y158" s="11" t="s">
        <v>74</v>
      </c>
      <c r="Z158" s="57" t="str">
        <f>IF($O$15&lt;&gt;0, $U$49, "")</f>
        <v/>
      </c>
      <c r="AC158" s="3">
        <f t="shared" si="2"/>
        <v>158</v>
      </c>
      <c r="AD158" s="37" t="s">
        <v>230</v>
      </c>
      <c r="AE158" s="45" t="str">
        <f>IF($O$8&gt;=7,"λj ≦ q+4pz &lt; λj+1 の wBj", "-")</f>
        <v>-</v>
      </c>
      <c r="AF158" s="36" t="str">
        <f ca="1">IF($O$8&gt;=7, INDEX(INDIRECT($AF$2&amp;"!C:C"), MATCH($AF$77, INDIRECT($AF$2&amp;"!A:A"), 0)),"-")</f>
        <v>-</v>
      </c>
    </row>
    <row r="159" spans="23:32" x14ac:dyDescent="0.4">
      <c r="W159" s="3" t="s">
        <v>450</v>
      </c>
      <c r="X159" s="9" t="s">
        <v>544</v>
      </c>
      <c r="Y159" s="11" t="s">
        <v>78</v>
      </c>
      <c r="Z159" s="27">
        <f>$O$16</f>
        <v>0</v>
      </c>
      <c r="AC159" s="3">
        <f t="shared" si="2"/>
        <v>159</v>
      </c>
      <c r="AD159" s="37" t="s">
        <v>231</v>
      </c>
      <c r="AE159" s="45" t="str">
        <f>IF($O$8&gt;=8,"λj ≦ q+5pz &lt; λj+1 の wBj", "-")</f>
        <v>-</v>
      </c>
      <c r="AF159" s="36" t="str">
        <f ca="1">IF($O$8&gt;=8, INDEX(INDIRECT($AF$2&amp;"!C:C"), MATCH($AF$78, INDIRECT($AF$2&amp;"!A:A"), 0)),"-")</f>
        <v>-</v>
      </c>
    </row>
    <row r="160" spans="23:32" x14ac:dyDescent="0.4">
      <c r="W160" s="3" t="s">
        <v>454</v>
      </c>
      <c r="X160" s="9" t="s">
        <v>551</v>
      </c>
      <c r="Y160" s="11" t="s">
        <v>78</v>
      </c>
      <c r="Z160" s="27">
        <f>$O$17</f>
        <v>0</v>
      </c>
      <c r="AC160" s="3">
        <f t="shared" si="2"/>
        <v>160</v>
      </c>
      <c r="AD160" s="37" t="s">
        <v>232</v>
      </c>
      <c r="AE160" s="45" t="s">
        <v>242</v>
      </c>
      <c r="AF160" s="36">
        <f ca="1">INDEX(INDIRECT($AF$2&amp;"!C:C"), MATCH($AF$79, INDIRECT($AF$2&amp;"!A:A"), 0))</f>
        <v>133.97746841009109</v>
      </c>
    </row>
    <row r="161" spans="23:32" x14ac:dyDescent="0.4">
      <c r="W161" s="3" t="s">
        <v>456</v>
      </c>
      <c r="X161" s="9" t="s">
        <v>552</v>
      </c>
      <c r="Y161" s="11" t="s">
        <v>77</v>
      </c>
      <c r="Z161" s="27">
        <f>$O$18</f>
        <v>0</v>
      </c>
      <c r="AC161" s="3">
        <f t="shared" si="2"/>
        <v>161</v>
      </c>
      <c r="AD161" s="37" t="s">
        <v>233</v>
      </c>
      <c r="AE161" s="45" t="s">
        <v>243</v>
      </c>
      <c r="AF161" s="36">
        <f ca="1">INDEX(INDIRECT($AF$2&amp;"!C:C"), MATCH($AF$80, INDIRECT($AF$2&amp;"!A:A"), 0))</f>
        <v>133.97746841009109</v>
      </c>
    </row>
    <row r="162" spans="23:32" x14ac:dyDescent="0.4">
      <c r="W162" s="3" t="s">
        <v>445</v>
      </c>
      <c r="X162" s="9" t="s">
        <v>553</v>
      </c>
      <c r="Y162" s="11" t="s">
        <v>75</v>
      </c>
      <c r="Z162" s="27">
        <f>$O$20</f>
        <v>0</v>
      </c>
      <c r="AC162" s="3">
        <f t="shared" si="2"/>
        <v>162</v>
      </c>
      <c r="AD162" s="37" t="s">
        <v>234</v>
      </c>
      <c r="AE162" s="45" t="str">
        <f>IF($O$8&gt;=3,"λj ≦ q &lt; λj+1 の wBj+1", "-")</f>
        <v>-</v>
      </c>
      <c r="AF162" s="36" t="str">
        <f ca="1">IF($O$8&gt;=3, INDEX(INDIRECT($AF$2&amp;"!C:C"), MATCH($AF$81, INDIRECT($AF$2&amp;"!A:A"), 0)),"-")</f>
        <v>-</v>
      </c>
    </row>
    <row r="163" spans="23:32" x14ac:dyDescent="0.4">
      <c r="W163" s="3" t="s">
        <v>448</v>
      </c>
      <c r="X163" s="9" t="s">
        <v>554</v>
      </c>
      <c r="Y163" s="11" t="s">
        <v>74</v>
      </c>
      <c r="Z163" s="27">
        <f>$O$19</f>
        <v>0</v>
      </c>
      <c r="AC163" s="3">
        <f t="shared" si="2"/>
        <v>163</v>
      </c>
      <c r="AD163" s="37" t="s">
        <v>235</v>
      </c>
      <c r="AE163" s="45" t="str">
        <f>IF($O$8&gt;=4,"λj ≦ q+pz &lt; λj+1 の wBj+1", "-")</f>
        <v>-</v>
      </c>
      <c r="AF163" s="36" t="str">
        <f ca="1">IF($O$8&gt;=4, INDEX(INDIRECT($AF$2&amp;"!C:C"), MATCH($AF$82, INDIRECT($AF$2&amp;"!A:A"), 0)),"-")</f>
        <v>-</v>
      </c>
    </row>
    <row r="164" spans="23:32" x14ac:dyDescent="0.4">
      <c r="W164" s="3" t="s">
        <v>454</v>
      </c>
      <c r="X164" s="9" t="s">
        <v>57</v>
      </c>
      <c r="Y164" s="11" t="s">
        <v>78</v>
      </c>
      <c r="Z164" s="27">
        <f>$AF$16</f>
        <v>155.5</v>
      </c>
      <c r="AA164" s="60"/>
      <c r="AC164" s="3">
        <f t="shared" si="2"/>
        <v>164</v>
      </c>
      <c r="AD164" s="37" t="s">
        <v>236</v>
      </c>
      <c r="AE164" s="45" t="str">
        <f>IF($O$8&gt;=5,"λj ≦ q+2pz &lt; λj+1 の wBj+1", "-")</f>
        <v>-</v>
      </c>
      <c r="AF164" s="36" t="str">
        <f ca="1">IF($O$8&gt;=5, INDEX(INDIRECT($AF$2&amp;"!C:C"), MATCH($AF$83, INDIRECT($AF$2&amp;"!A:A"), 0)),"-")</f>
        <v>-</v>
      </c>
    </row>
    <row r="165" spans="23:32" x14ac:dyDescent="0.4">
      <c r="W165" s="3" t="s">
        <v>456</v>
      </c>
      <c r="X165" s="9" t="s">
        <v>8</v>
      </c>
      <c r="Y165" s="11" t="s">
        <v>77</v>
      </c>
      <c r="Z165" s="27">
        <f>$AF$17</f>
        <v>154</v>
      </c>
      <c r="AA165" s="60"/>
      <c r="AC165" s="3">
        <f t="shared" si="2"/>
        <v>165</v>
      </c>
      <c r="AD165" s="37" t="s">
        <v>237</v>
      </c>
      <c r="AE165" s="45" t="str">
        <f>IF($O$8&gt;=6,"λj ≦ q+3pz &lt; λj+1 の wBj+1", "-")</f>
        <v>-</v>
      </c>
      <c r="AF165" s="36" t="str">
        <f ca="1">IF($O$8&gt;=6, INDEX(INDIRECT($AF$2&amp;"!C:C"), MATCH($AF$84, INDIRECT($AF$2&amp;"!A:A"), 0)),"-")</f>
        <v>-</v>
      </c>
    </row>
    <row r="166" spans="23:32" x14ac:dyDescent="0.4">
      <c r="W166" s="3" t="s">
        <v>75</v>
      </c>
      <c r="X166" s="9" t="s">
        <v>421</v>
      </c>
      <c r="Y166" s="11" t="s">
        <v>75</v>
      </c>
      <c r="Z166" s="27">
        <f>$Z$9</f>
        <v>500.01300874967268</v>
      </c>
      <c r="AA166" s="27">
        <f>$U$9+$Z$150</f>
        <v>-649.9609912503272</v>
      </c>
      <c r="AC166" s="3">
        <f t="shared" si="2"/>
        <v>166</v>
      </c>
      <c r="AD166" s="37" t="s">
        <v>238</v>
      </c>
      <c r="AE166" s="45" t="str">
        <f>IF($O$8&gt;=7,"λj ≦ q+4pz &lt; λj+1 の wBj+1", "-")</f>
        <v>-</v>
      </c>
      <c r="AF166" s="36" t="str">
        <f ca="1">IF($O$8&gt;=7, INDEX(INDIRECT($AF$2&amp;"!C:C"), MATCH($AF$85, INDIRECT($AF$2&amp;"!A:A"), 0)),"-")</f>
        <v>-</v>
      </c>
    </row>
    <row r="167" spans="23:32" x14ac:dyDescent="0.4">
      <c r="X167" s="18"/>
      <c r="Y167" s="20"/>
      <c r="Z167" s="5"/>
      <c r="AC167" s="3">
        <f t="shared" si="2"/>
        <v>167</v>
      </c>
      <c r="AD167" s="37" t="s">
        <v>239</v>
      </c>
      <c r="AE167" s="45" t="str">
        <f>IF($O$8&gt;=8,"λj ≦ q+5pz &lt; λj+1 の wBj+1", "-")</f>
        <v>-</v>
      </c>
      <c r="AF167" s="36" t="str">
        <f ca="1">IF($O$8&gt;=8, INDEX(INDIRECT($AF$2&amp;"!C:C"), MATCH($AF$86, INDIRECT($AF$2&amp;"!A:A"), 0)),"-")</f>
        <v>-</v>
      </c>
    </row>
    <row r="168" spans="23:32" x14ac:dyDescent="0.4">
      <c r="X168" s="4" t="s">
        <v>564</v>
      </c>
      <c r="Z168" s="25"/>
      <c r="AC168" s="3">
        <f t="shared" si="2"/>
        <v>168</v>
      </c>
      <c r="AD168" s="37" t="s">
        <v>240</v>
      </c>
      <c r="AE168" s="45" t="s">
        <v>244</v>
      </c>
      <c r="AF168" s="2">
        <f ca="1">INDEX(INDIRECT($AF$2&amp;"!C:C"), MATCH($AF$87, INDIRECT($AF$2&amp;"!A:A"), 0))</f>
        <v>133.85788020936585</v>
      </c>
    </row>
    <row r="169" spans="23:32" x14ac:dyDescent="0.4">
      <c r="W169" s="3" t="s">
        <v>446</v>
      </c>
      <c r="X169" s="9" t="s">
        <v>347</v>
      </c>
      <c r="Y169" s="11" t="s">
        <v>74</v>
      </c>
      <c r="Z169" s="57">
        <f>IF($I$12&lt;&gt;1,$U$23,$U$24)</f>
        <v>16</v>
      </c>
      <c r="AA169" s="43"/>
      <c r="AC169" s="3">
        <f t="shared" si="2"/>
        <v>169</v>
      </c>
      <c r="AD169" s="37" t="s">
        <v>241</v>
      </c>
      <c r="AE169" s="45" t="s">
        <v>245</v>
      </c>
      <c r="AF169" s="2">
        <f ca="1">INDEX(INDIRECT($AF$2&amp;"!C:C"), MATCH($AF$88, INDIRECT($AF$2&amp;"!A:A"), 0))</f>
        <v>133.85788020936585</v>
      </c>
    </row>
    <row r="170" spans="23:32" x14ac:dyDescent="0.4">
      <c r="W170" s="3" t="s">
        <v>463</v>
      </c>
      <c r="X170" s="9" t="s">
        <v>360</v>
      </c>
      <c r="Y170" s="11" t="s">
        <v>74</v>
      </c>
      <c r="Z170" s="57" t="str">
        <f>IF($O$22&lt;&gt;0, $U$50, "")</f>
        <v/>
      </c>
      <c r="AC170" s="3">
        <f t="shared" si="2"/>
        <v>170</v>
      </c>
      <c r="AD170" s="37" t="s">
        <v>262</v>
      </c>
      <c r="AE170" s="46" t="str">
        <f>IF($O$8&gt;=4,"2列目AC内径（水平・めっき含・概算）","-")</f>
        <v>-</v>
      </c>
      <c r="AF170" s="36" t="str">
        <f>IF($O$8&gt;=4,($AF$90*$AF$128+$AF$98*$AF$120)/($AF$82-$AF$74)+$C$20*2,"-")</f>
        <v>-</v>
      </c>
    </row>
    <row r="171" spans="23:32" x14ac:dyDescent="0.4">
      <c r="W171" s="3" t="s">
        <v>78</v>
      </c>
      <c r="X171" s="9" t="s">
        <v>566</v>
      </c>
      <c r="Y171" s="11" t="s">
        <v>78</v>
      </c>
      <c r="Z171" s="27">
        <f>$O$23</f>
        <v>0</v>
      </c>
      <c r="AA171" s="60"/>
      <c r="AC171" s="3">
        <f t="shared" si="2"/>
        <v>171</v>
      </c>
      <c r="AD171" s="37" t="s">
        <v>263</v>
      </c>
      <c r="AE171" s="46" t="str">
        <f>IF($O$8&gt;=5,"3列目AC内径（水平・めっき含・概算）","-")</f>
        <v>-</v>
      </c>
      <c r="AF171" s="36" t="str">
        <f>IF($O$8&gt;=5,($AF$91*$AF$129+$AF$99*$AF$121)/($AF$83-$AF$75)+$C$20*2,"-")</f>
        <v>-</v>
      </c>
    </row>
    <row r="172" spans="23:32" x14ac:dyDescent="0.4">
      <c r="W172" s="3" t="s">
        <v>77</v>
      </c>
      <c r="X172" s="9" t="s">
        <v>567</v>
      </c>
      <c r="Y172" s="11" t="s">
        <v>77</v>
      </c>
      <c r="Z172" s="27">
        <f>$O$24</f>
        <v>0</v>
      </c>
      <c r="AA172" s="60"/>
      <c r="AC172" s="3">
        <f t="shared" si="2"/>
        <v>172</v>
      </c>
      <c r="AD172" s="37" t="s">
        <v>264</v>
      </c>
      <c r="AE172" s="46" t="str">
        <f>IF($O$8&gt;=6,"4列目AC内径（水平・めっき含・概算）","-")</f>
        <v>-</v>
      </c>
      <c r="AF172" s="36" t="str">
        <f>IF($O$8&gt;=6,($AF$92*$AF$130+$AF$100*$AF$122)/($AF$84-$AF$76)+$C$20*2,"-")</f>
        <v>-</v>
      </c>
    </row>
    <row r="173" spans="23:32" x14ac:dyDescent="0.4">
      <c r="W173" s="3" t="s">
        <v>75</v>
      </c>
      <c r="X173" s="9" t="s">
        <v>421</v>
      </c>
      <c r="Y173" s="11" t="s">
        <v>75</v>
      </c>
      <c r="Z173" s="27">
        <f>$Z$9</f>
        <v>500.01300874967268</v>
      </c>
      <c r="AA173" s="27">
        <f>$U$9+$Z$150</f>
        <v>-649.9609912503272</v>
      </c>
      <c r="AC173" s="3">
        <f t="shared" si="2"/>
        <v>173</v>
      </c>
      <c r="AD173" s="37" t="s">
        <v>265</v>
      </c>
      <c r="AE173" s="46" t="str">
        <f>IF($O$8&gt;=7,"5列目AC内径（水平・めっき含・概算）","-")</f>
        <v>-</v>
      </c>
      <c r="AF173" s="36" t="str">
        <f>IF($O$8&gt;=7,($AF$93*$AF$131+$AF$101*$AF$123)/($AF$85-$AF$77)+$C$20*2,"-")</f>
        <v>-</v>
      </c>
    </row>
    <row r="174" spans="23:32" x14ac:dyDescent="0.4">
      <c r="W174" s="3" t="s">
        <v>448</v>
      </c>
      <c r="X174" s="9" t="s">
        <v>569</v>
      </c>
      <c r="Y174" s="11" t="s">
        <v>74</v>
      </c>
      <c r="Z174" s="27">
        <f>$O$26</f>
        <v>0</v>
      </c>
      <c r="AA174" s="60"/>
      <c r="AC174" s="3">
        <f t="shared" si="2"/>
        <v>174</v>
      </c>
      <c r="AD174" s="37" t="s">
        <v>266</v>
      </c>
      <c r="AE174" s="46" t="str">
        <f>IF($O$8&gt;=8,"6列目AC内径（水平・めっき含・概算）","-")</f>
        <v>-</v>
      </c>
      <c r="AF174" s="36" t="str">
        <f>IF($O$8&gt;=8,($AF$94*$AF$132+$AF$102*$AF$124)/($AF$86-$AF$78)+$C$20*2,"-")</f>
        <v>-</v>
      </c>
    </row>
    <row r="175" spans="23:32" x14ac:dyDescent="0.4">
      <c r="W175" s="3" t="s">
        <v>453</v>
      </c>
      <c r="X175" s="9" t="s">
        <v>568</v>
      </c>
      <c r="Y175" s="11" t="s">
        <v>75</v>
      </c>
      <c r="Z175" s="27">
        <f>$O$25</f>
        <v>0</v>
      </c>
      <c r="AA175" s="60"/>
      <c r="AC175" s="3">
        <f t="shared" si="2"/>
        <v>175</v>
      </c>
      <c r="AD175" s="37" t="s">
        <v>267</v>
      </c>
      <c r="AE175" s="46" t="s">
        <v>252</v>
      </c>
      <c r="AF175" s="2">
        <f ca="1">($AF$95*$AF$133+$AF$103*$AF$125)/($AF$87-$AF$79)+$C$20*2</f>
        <v>135.63993964202419</v>
      </c>
    </row>
    <row r="176" spans="23:32" x14ac:dyDescent="0.4">
      <c r="Z176" s="5"/>
      <c r="AC176" s="3">
        <f t="shared" si="2"/>
        <v>176</v>
      </c>
      <c r="AD176" s="37" t="s">
        <v>211</v>
      </c>
      <c r="AE176" s="46" t="s">
        <v>254</v>
      </c>
      <c r="AF176" s="2">
        <f ca="1">INDEX(INDIRECT($AF$2&amp;"!C:C"), MATCH(0, INDIRECT($AF$2&amp;"!A:A"), 0))+$C$20*2</f>
        <v>134.11746841009108</v>
      </c>
    </row>
    <row r="177" spans="23:32" x14ac:dyDescent="0.4">
      <c r="X177" s="22" t="s">
        <v>542</v>
      </c>
      <c r="Y177" s="54"/>
      <c r="Z177" s="25"/>
      <c r="AC177" s="3">
        <f t="shared" si="2"/>
        <v>177</v>
      </c>
      <c r="AD177" s="37" t="s">
        <v>251</v>
      </c>
      <c r="AE177" s="46" t="str">
        <f>IF($O$8&gt;=3,"1列目 BD内径（めっき含・概算）","-")</f>
        <v>-</v>
      </c>
      <c r="AF177" s="36" t="str">
        <f>IF($O$8&gt;=3,($AF$89*$AF$162+$AF$97*$AF$154)/($AF$81-$AF$73)+$C$20*2,"-")</f>
        <v>-</v>
      </c>
    </row>
    <row r="178" spans="23:32" x14ac:dyDescent="0.4">
      <c r="W178" s="3" t="s">
        <v>446</v>
      </c>
      <c r="X178" s="9" t="s">
        <v>347</v>
      </c>
      <c r="Y178" s="11" t="s">
        <v>74</v>
      </c>
      <c r="Z178" s="57">
        <f>IF($Z$196&gt;=7.1, $U$18, $U$19)</f>
        <v>6</v>
      </c>
      <c r="AA178" s="43"/>
      <c r="AC178" s="3">
        <f t="shared" si="2"/>
        <v>178</v>
      </c>
      <c r="AD178" s="37" t="s">
        <v>256</v>
      </c>
      <c r="AE178" s="46" t="str">
        <f>IF($O$8&gt;=4,"2列目 BD内径（めっき含・概算）","-")</f>
        <v>-</v>
      </c>
      <c r="AF178" s="36" t="str">
        <f>IF($O$8&gt;=4,($AF$90*$AF$163+$AF$98*$AF$155)/($AF$82-$AF$74)+$C$20*2,"-")</f>
        <v>-</v>
      </c>
    </row>
    <row r="179" spans="23:32" ht="15" thickBot="1" x14ac:dyDescent="0.45">
      <c r="W179" s="3" t="s">
        <v>76</v>
      </c>
      <c r="X179" s="64" t="s">
        <v>511</v>
      </c>
      <c r="Y179" s="65" t="s">
        <v>76</v>
      </c>
      <c r="Z179" s="66">
        <f>$Z$13</f>
        <v>-0.90700000000000003</v>
      </c>
      <c r="AA179" s="27">
        <f>-$U$10+$Z$179</f>
        <v>-0.98</v>
      </c>
      <c r="AC179" s="3">
        <f t="shared" si="2"/>
        <v>179</v>
      </c>
      <c r="AD179" s="37" t="s">
        <v>257</v>
      </c>
      <c r="AE179" s="46" t="str">
        <f>IF($O$8&gt;=5,"3列目 BD内径（めっき含・概算）","-")</f>
        <v>-</v>
      </c>
      <c r="AF179" s="36" t="str">
        <f>IF($O$8&gt;=5,($AF$91*$AF$164+$AF$99*$AF$156)/($AF$83-$AF$75)+$C$20*2,"-")</f>
        <v>-</v>
      </c>
    </row>
    <row r="180" spans="23:32" ht="15" thickTop="1" x14ac:dyDescent="0.4">
      <c r="W180" s="3" t="s">
        <v>463</v>
      </c>
      <c r="X180" s="9" t="s">
        <v>360</v>
      </c>
      <c r="Y180" s="11" t="s">
        <v>74</v>
      </c>
      <c r="Z180" s="57">
        <f>$U$45</f>
        <v>430000</v>
      </c>
      <c r="AC180" s="3">
        <f t="shared" si="2"/>
        <v>180</v>
      </c>
      <c r="AD180" s="37" t="s">
        <v>258</v>
      </c>
      <c r="AE180" s="46" t="str">
        <f>IF($O$8&gt;=6,"4列目 BD内径（めっき含・概算）","-")</f>
        <v>-</v>
      </c>
      <c r="AF180" s="36" t="str">
        <f>IF($O$8&gt;=6,($AF$92*$AF$165+$AF$100*$AF$157)/($AF$84-$AF$76)+$C$20*2,"-")</f>
        <v>-</v>
      </c>
    </row>
    <row r="181" spans="23:32" x14ac:dyDescent="0.4">
      <c r="W181" s="3" t="s">
        <v>455</v>
      </c>
      <c r="X181" s="10" t="s">
        <v>472</v>
      </c>
      <c r="Y181" s="27" t="s">
        <v>74</v>
      </c>
      <c r="Z181" s="57">
        <f>$I$11</f>
        <v>1</v>
      </c>
      <c r="AA181" s="43"/>
      <c r="AC181" s="3">
        <f t="shared" si="2"/>
        <v>181</v>
      </c>
      <c r="AD181" s="37" t="s">
        <v>259</v>
      </c>
      <c r="AE181" s="46" t="str">
        <f>IF($O$8&gt;=7,"5列目 BD内径（めっき含・概算）","-")</f>
        <v>-</v>
      </c>
      <c r="AF181" s="36" t="str">
        <f>IF($O$8&gt;=7,($AF$93*$AF$166+$AF$101*$AF$158)/($AF$85-$AF$77)+$C$20*2,"-")</f>
        <v>-</v>
      </c>
    </row>
    <row r="182" spans="23:32" x14ac:dyDescent="0.4">
      <c r="W182" s="3" t="s">
        <v>76</v>
      </c>
      <c r="X182" s="10" t="s">
        <v>539</v>
      </c>
      <c r="Y182" s="27" t="s">
        <v>74</v>
      </c>
      <c r="Z182" s="57">
        <f>$I$27</f>
        <v>0</v>
      </c>
      <c r="AA182" s="43"/>
      <c r="AC182" s="3">
        <f t="shared" si="2"/>
        <v>182</v>
      </c>
      <c r="AD182" s="37" t="s">
        <v>260</v>
      </c>
      <c r="AE182" s="46" t="str">
        <f>IF($O$8&gt;=8,"6列目 BD内径（めっき含・概算）","-")</f>
        <v>-</v>
      </c>
      <c r="AF182" s="36" t="str">
        <f>IF($O$8&gt;=8,($AF$94*$AF$167+$AF$102*$AF$159)/($AF$86-$AF$78)+$C$20*2,"-")</f>
        <v>-</v>
      </c>
    </row>
    <row r="183" spans="23:32" x14ac:dyDescent="0.4">
      <c r="W183" s="3" t="s">
        <v>453</v>
      </c>
      <c r="X183" s="10" t="s">
        <v>437</v>
      </c>
      <c r="Y183" s="27" t="s">
        <v>74</v>
      </c>
      <c r="Z183" s="57">
        <f>$I$26</f>
        <v>4</v>
      </c>
      <c r="AA183" s="43"/>
      <c r="AC183" s="3">
        <f t="shared" si="2"/>
        <v>183</v>
      </c>
      <c r="AD183" s="37" t="s">
        <v>261</v>
      </c>
      <c r="AE183" s="46" t="s">
        <v>255</v>
      </c>
      <c r="AF183" s="2">
        <f ca="1">($AF$95*$AF$168+$AF$103*$AF$160)/($AF$87-$AF$79)+$C$20*2</f>
        <v>134.11746841009108</v>
      </c>
    </row>
    <row r="184" spans="23:32" x14ac:dyDescent="0.4">
      <c r="W184" s="3" t="s">
        <v>447</v>
      </c>
      <c r="X184" s="10" t="s">
        <v>435</v>
      </c>
      <c r="Y184" s="27" t="s">
        <v>74</v>
      </c>
      <c r="Z184" s="27" t="str">
        <f>IF($I$26=2, $I$38, "#0")</f>
        <v>#0</v>
      </c>
      <c r="AA184" s="43"/>
      <c r="AC184" s="3">
        <f t="shared" si="2"/>
        <v>184</v>
      </c>
    </row>
    <row r="185" spans="23:32" x14ac:dyDescent="0.4">
      <c r="W185" s="3" t="s">
        <v>448</v>
      </c>
      <c r="X185" s="10" t="s">
        <v>436</v>
      </c>
      <c r="Y185" s="27" t="s">
        <v>74</v>
      </c>
      <c r="Z185" s="27" t="str">
        <f>IF($I$26=1, $I$37, "#0")</f>
        <v>#0</v>
      </c>
      <c r="AA185" s="43"/>
      <c r="AC185" s="3">
        <f t="shared" si="2"/>
        <v>185</v>
      </c>
    </row>
    <row r="186" spans="23:32" x14ac:dyDescent="0.4">
      <c r="W186" s="3" t="s">
        <v>78</v>
      </c>
      <c r="X186" s="9" t="s">
        <v>32</v>
      </c>
      <c r="Y186" s="11" t="s">
        <v>78</v>
      </c>
      <c r="Z186" s="27" t="str">
        <f>IF($I$26=4, "#0", $I$28+($J$28+$K$28)/2)</f>
        <v>#0</v>
      </c>
      <c r="AA186" s="43"/>
      <c r="AC186" s="3">
        <f t="shared" si="2"/>
        <v>186</v>
      </c>
    </row>
    <row r="187" spans="23:32" x14ac:dyDescent="0.4">
      <c r="W187" s="3" t="s">
        <v>77</v>
      </c>
      <c r="X187" s="9" t="s">
        <v>438</v>
      </c>
      <c r="Y187" s="11" t="s">
        <v>77</v>
      </c>
      <c r="Z187" s="27">
        <f>$I$29+($J$29+$K$29)/2</f>
        <v>144.9</v>
      </c>
      <c r="AA187" s="43"/>
      <c r="AC187" s="3">
        <f t="shared" si="2"/>
        <v>187</v>
      </c>
      <c r="AD187" s="37" t="s">
        <v>123</v>
      </c>
      <c r="AF187" s="2">
        <f>$AI$27^2+(2*AF15)^2</f>
        <v>384400</v>
      </c>
    </row>
    <row r="188" spans="23:32" x14ac:dyDescent="0.4">
      <c r="W188" s="3" t="s">
        <v>454</v>
      </c>
      <c r="X188" s="9" t="s">
        <v>57</v>
      </c>
      <c r="Y188" s="11" t="s">
        <v>78</v>
      </c>
      <c r="Z188" s="27">
        <f>$AF$16</f>
        <v>155.5</v>
      </c>
      <c r="AA188" s="60"/>
      <c r="AC188" s="3">
        <f t="shared" si="2"/>
        <v>188</v>
      </c>
      <c r="AD188" s="37" t="s">
        <v>124</v>
      </c>
      <c r="AE188" s="45" t="s">
        <v>21</v>
      </c>
      <c r="AF188" s="2">
        <f>SQRT(AF187)</f>
        <v>620</v>
      </c>
    </row>
    <row r="189" spans="23:32" x14ac:dyDescent="0.4">
      <c r="W189" s="3" t="s">
        <v>456</v>
      </c>
      <c r="X189" s="9" t="s">
        <v>8</v>
      </c>
      <c r="Y189" s="11" t="s">
        <v>77</v>
      </c>
      <c r="Z189" s="27">
        <f>$AF$17</f>
        <v>154</v>
      </c>
      <c r="AA189" s="60"/>
      <c r="AC189" s="3">
        <f t="shared" si="2"/>
        <v>189</v>
      </c>
      <c r="AD189" s="37" t="s">
        <v>49</v>
      </c>
      <c r="AE189" s="45" t="s">
        <v>22</v>
      </c>
      <c r="AF189" s="2">
        <f>2*AF15/AF188</f>
        <v>1</v>
      </c>
    </row>
    <row r="190" spans="23:32" x14ac:dyDescent="0.4">
      <c r="W190" s="3" t="s">
        <v>454</v>
      </c>
      <c r="X190" s="9" t="s">
        <v>433</v>
      </c>
      <c r="Y190" s="11" t="s">
        <v>78</v>
      </c>
      <c r="Z190" s="27">
        <f>$AF$22</f>
        <v>154</v>
      </c>
      <c r="AA190" s="43"/>
      <c r="AC190" s="3">
        <f t="shared" si="2"/>
        <v>190</v>
      </c>
      <c r="AD190" s="37" t="s">
        <v>50</v>
      </c>
      <c r="AE190" s="45" t="s">
        <v>23</v>
      </c>
      <c r="AF190" s="2">
        <f>$AI$27/AF188</f>
        <v>0</v>
      </c>
    </row>
    <row r="191" spans="23:32" x14ac:dyDescent="0.4">
      <c r="W191" s="3" t="s">
        <v>456</v>
      </c>
      <c r="X191" s="9" t="s">
        <v>434</v>
      </c>
      <c r="Y191" s="11" t="s">
        <v>77</v>
      </c>
      <c r="Z191" s="27">
        <f>$AF$23</f>
        <v>153</v>
      </c>
      <c r="AA191" s="43"/>
      <c r="AC191" s="3">
        <f t="shared" si="2"/>
        <v>191</v>
      </c>
      <c r="AD191" s="37" t="s">
        <v>125</v>
      </c>
      <c r="AF191" s="2">
        <f>SQRT(AF14^2-(AF15-AF28)^2)</f>
        <v>6752.5388003328053</v>
      </c>
    </row>
    <row r="192" spans="23:32" x14ac:dyDescent="0.4">
      <c r="W192" s="3" t="s">
        <v>75</v>
      </c>
      <c r="X192" s="9" t="s">
        <v>421</v>
      </c>
      <c r="Y192" s="11" t="s">
        <v>75</v>
      </c>
      <c r="Z192" s="27">
        <f>$Z$9</f>
        <v>500.01300874967268</v>
      </c>
      <c r="AA192" s="27">
        <f>$U$9+$Z$192</f>
        <v>-649.9609912503272</v>
      </c>
      <c r="AC192" s="3">
        <f t="shared" si="2"/>
        <v>192</v>
      </c>
      <c r="AD192" s="37" t="s">
        <v>126</v>
      </c>
      <c r="AF192" s="2">
        <f>SQRT(AF14^2-(AF15+AF28)^2)</f>
        <v>6742.4313307589573</v>
      </c>
    </row>
    <row r="193" spans="23:32" x14ac:dyDescent="0.4">
      <c r="W193" s="3" t="s">
        <v>445</v>
      </c>
      <c r="X193" s="9" t="s">
        <v>422</v>
      </c>
      <c r="Y193" s="11" t="s">
        <v>75</v>
      </c>
      <c r="Z193" s="27">
        <f>$Z$4</f>
        <v>390</v>
      </c>
      <c r="AA193" s="44"/>
      <c r="AC193" s="3">
        <f t="shared" si="2"/>
        <v>193</v>
      </c>
      <c r="AD193" s="37" t="s">
        <v>127</v>
      </c>
      <c r="AF193" s="2">
        <f>AF28*AF15</f>
        <v>34100</v>
      </c>
    </row>
    <row r="194" spans="23:32" x14ac:dyDescent="0.4">
      <c r="W194" s="3" t="s">
        <v>439</v>
      </c>
      <c r="X194" s="9" t="s">
        <v>4</v>
      </c>
      <c r="Y194" s="11" t="s">
        <v>74</v>
      </c>
      <c r="Z194" s="27">
        <f>$C$8</f>
        <v>6933.25</v>
      </c>
      <c r="AC194" s="3">
        <f t="shared" si="2"/>
        <v>194</v>
      </c>
      <c r="AD194" s="37" t="s">
        <v>128</v>
      </c>
      <c r="AF194" s="2">
        <f>SQRT(AF14^2-AF187/4)</f>
        <v>6748.3835286681806</v>
      </c>
    </row>
    <row r="195" spans="23:32" x14ac:dyDescent="0.4">
      <c r="W195" s="3" t="s">
        <v>449</v>
      </c>
      <c r="X195" s="9" t="s">
        <v>30</v>
      </c>
      <c r="Y195" s="11" t="s">
        <v>75</v>
      </c>
      <c r="Z195" s="27">
        <f>$I$30+($J$30+$K$30)/2</f>
        <v>10</v>
      </c>
      <c r="AA195" s="60"/>
      <c r="AC195" s="3">
        <f t="shared" si="2"/>
        <v>195</v>
      </c>
      <c r="AD195" s="37" t="s">
        <v>58</v>
      </c>
      <c r="AF195" s="2">
        <f>AF194*AF189</f>
        <v>6748.3835286681806</v>
      </c>
    </row>
    <row r="196" spans="23:32" x14ac:dyDescent="0.4">
      <c r="W196" s="3" t="s">
        <v>473</v>
      </c>
      <c r="X196" s="9" t="s">
        <v>31</v>
      </c>
      <c r="Y196" s="11" t="s">
        <v>75</v>
      </c>
      <c r="Z196" s="27">
        <f>$I$31+($J$31+$K$31)/2</f>
        <v>8</v>
      </c>
      <c r="AA196" s="60"/>
      <c r="AC196" s="3">
        <f t="shared" si="2"/>
        <v>196</v>
      </c>
      <c r="AD196" s="37" t="s">
        <v>59</v>
      </c>
      <c r="AE196" s="45" t="s">
        <v>19</v>
      </c>
      <c r="AF196" s="2">
        <f>AF194*AF190</f>
        <v>0</v>
      </c>
    </row>
    <row r="197" spans="23:32" x14ac:dyDescent="0.4">
      <c r="X197" s="2"/>
      <c r="Y197" s="19"/>
      <c r="Z197" s="5"/>
      <c r="AA197" s="5"/>
      <c r="AC197" s="3">
        <f t="shared" ref="AC197" si="3">ROW(AC197)</f>
        <v>197</v>
      </c>
      <c r="AD197" s="37" t="s">
        <v>33</v>
      </c>
      <c r="AE197" s="45" t="s">
        <v>18</v>
      </c>
      <c r="AF197" s="2">
        <f>$AI$27/2+AF13-AF195</f>
        <v>0</v>
      </c>
    </row>
    <row r="198" spans="23:32" x14ac:dyDescent="0.4">
      <c r="X198" s="28" t="s">
        <v>491</v>
      </c>
      <c r="Y198" s="25"/>
      <c r="Z198" s="5"/>
      <c r="AA198" s="5"/>
    </row>
    <row r="199" spans="23:32" x14ac:dyDescent="0.4">
      <c r="W199" s="3" t="s">
        <v>446</v>
      </c>
      <c r="X199" s="9" t="s">
        <v>347</v>
      </c>
      <c r="Y199" s="11" t="s">
        <v>74</v>
      </c>
      <c r="Z199" s="57" cm="1">
        <f t="array" ref="Z199">_xlfn.IFS($I$53=15, $U$20, $I$53=30, $U$21, OR($I$53=45, $I$51=2), $U$22)</f>
        <v>13</v>
      </c>
    </row>
    <row r="200" spans="23:32" ht="15" thickBot="1" x14ac:dyDescent="0.45">
      <c r="W200" s="3" t="s">
        <v>76</v>
      </c>
      <c r="X200" s="64" t="s">
        <v>511</v>
      </c>
      <c r="Y200" s="65" t="s">
        <v>76</v>
      </c>
      <c r="Z200" s="66">
        <f>$Z$13</f>
        <v>-0.90700000000000003</v>
      </c>
      <c r="AA200" s="27">
        <f>-$U$10+$Z$200</f>
        <v>-0.98</v>
      </c>
    </row>
    <row r="201" spans="23:32" ht="15" thickTop="1" x14ac:dyDescent="0.4">
      <c r="W201" s="3" t="s">
        <v>463</v>
      </c>
      <c r="X201" s="9" t="s">
        <v>360</v>
      </c>
      <c r="Y201" s="11" t="s">
        <v>74</v>
      </c>
      <c r="Z201" s="57">
        <v>440000</v>
      </c>
    </row>
    <row r="202" spans="23:32" x14ac:dyDescent="0.4">
      <c r="W202" s="3" t="s">
        <v>455</v>
      </c>
      <c r="X202" s="10" t="s">
        <v>472</v>
      </c>
      <c r="Y202" s="27" t="s">
        <v>74</v>
      </c>
      <c r="Z202" s="57">
        <f>$I$11</f>
        <v>1</v>
      </c>
      <c r="AA202" s="43"/>
    </row>
    <row r="203" spans="23:32" x14ac:dyDescent="0.4">
      <c r="W203" s="3" t="s">
        <v>76</v>
      </c>
      <c r="X203" s="10" t="s">
        <v>499</v>
      </c>
      <c r="Y203" s="27" t="s">
        <v>74</v>
      </c>
      <c r="Z203" s="57">
        <f>IF($I$51=1, 0, 1)</f>
        <v>0</v>
      </c>
      <c r="AA203" s="43"/>
    </row>
    <row r="204" spans="23:32" x14ac:dyDescent="0.4">
      <c r="W204" s="3" t="s">
        <v>78</v>
      </c>
      <c r="X204" s="9" t="s">
        <v>433</v>
      </c>
      <c r="Y204" s="11" t="s">
        <v>78</v>
      </c>
      <c r="Z204" s="27">
        <f>IF($Z$202&lt;&gt;0, $AF$22, "#0")</f>
        <v>154</v>
      </c>
      <c r="AA204" s="43"/>
    </row>
    <row r="205" spans="23:32" x14ac:dyDescent="0.4">
      <c r="W205" s="3" t="s">
        <v>77</v>
      </c>
      <c r="X205" s="9" t="s">
        <v>434</v>
      </c>
      <c r="Y205" s="11" t="s">
        <v>77</v>
      </c>
      <c r="Z205" s="27">
        <f>IF($Z$202&lt;&gt;0, $AF$23, "#0")</f>
        <v>153</v>
      </c>
      <c r="AA205" s="43"/>
    </row>
    <row r="206" spans="23:32" x14ac:dyDescent="0.4">
      <c r="W206" s="3" t="s">
        <v>75</v>
      </c>
      <c r="X206" s="9" t="s">
        <v>421</v>
      </c>
      <c r="Y206" s="11" t="s">
        <v>75</v>
      </c>
      <c r="Z206" s="27">
        <f>$Z$9</f>
        <v>500.01300874967268</v>
      </c>
      <c r="AA206" s="27">
        <f>$U$9+$Z$206</f>
        <v>-649.9609912503272</v>
      </c>
    </row>
    <row r="207" spans="23:32" x14ac:dyDescent="0.4">
      <c r="W207" s="3" t="s">
        <v>445</v>
      </c>
      <c r="X207" s="9" t="s">
        <v>422</v>
      </c>
      <c r="Y207" s="11" t="s">
        <v>75</v>
      </c>
      <c r="Z207" s="27">
        <f>$Z$4</f>
        <v>390</v>
      </c>
      <c r="AA207" s="44"/>
    </row>
    <row r="208" spans="23:32" x14ac:dyDescent="0.4">
      <c r="W208" s="3" t="s">
        <v>439</v>
      </c>
      <c r="X208" s="9" t="s">
        <v>4</v>
      </c>
      <c r="Y208" s="11" t="s">
        <v>74</v>
      </c>
      <c r="Z208" s="27">
        <f>$C$8</f>
        <v>6933.25</v>
      </c>
    </row>
    <row r="209" spans="23:32" x14ac:dyDescent="0.4">
      <c r="W209" s="3" t="s">
        <v>453</v>
      </c>
      <c r="X209" s="9" t="s">
        <v>475</v>
      </c>
      <c r="Y209" s="11" t="s">
        <v>74</v>
      </c>
      <c r="Z209" s="27">
        <f>$I$52</f>
        <v>0.5</v>
      </c>
    </row>
    <row r="210" spans="23:32" x14ac:dyDescent="0.4">
      <c r="W210" s="3" t="s">
        <v>448</v>
      </c>
      <c r="X210" s="9" t="s">
        <v>477</v>
      </c>
      <c r="Y210" s="11" t="s">
        <v>74</v>
      </c>
      <c r="Z210" s="27">
        <f>IF($I$11&lt;&gt;1, $C$17, $I$19)</f>
        <v>14</v>
      </c>
    </row>
    <row r="211" spans="23:32" x14ac:dyDescent="0.4">
      <c r="X211" s="21"/>
      <c r="Z211" s="19"/>
      <c r="AA211" s="5"/>
    </row>
    <row r="212" spans="23:32" x14ac:dyDescent="0.4">
      <c r="X212" s="28" t="s">
        <v>492</v>
      </c>
      <c r="Y212" s="25"/>
      <c r="Z212" s="5"/>
      <c r="AA212" s="5"/>
      <c r="AD212" s="45"/>
      <c r="AE212" s="46"/>
      <c r="AF212" s="1"/>
    </row>
    <row r="213" spans="23:32" x14ac:dyDescent="0.4">
      <c r="W213" s="3" t="s">
        <v>446</v>
      </c>
      <c r="X213" s="9" t="s">
        <v>347</v>
      </c>
      <c r="Y213" s="11" t="s">
        <v>74</v>
      </c>
      <c r="Z213" s="57" cm="1">
        <f t="array" ref="Z213">_xlfn.IFS($I$58=15, $U$20, $I$58=30, $U$21, OR($I$58=45, $I$56=2), $U$22)</f>
        <v>13</v>
      </c>
    </row>
    <row r="214" spans="23:32" ht="15" thickBot="1" x14ac:dyDescent="0.45">
      <c r="W214" s="3" t="s">
        <v>76</v>
      </c>
      <c r="X214" s="64" t="s">
        <v>511</v>
      </c>
      <c r="Y214" s="65" t="s">
        <v>76</v>
      </c>
      <c r="Z214" s="66">
        <f>$Z$13</f>
        <v>-0.90700000000000003</v>
      </c>
      <c r="AA214" s="27">
        <f>-$U$10+$Z$214</f>
        <v>-0.98</v>
      </c>
    </row>
    <row r="215" spans="23:32" ht="15" thickTop="1" x14ac:dyDescent="0.4">
      <c r="W215" s="3" t="s">
        <v>463</v>
      </c>
      <c r="X215" s="9" t="s">
        <v>360</v>
      </c>
      <c r="Y215" s="11" t="s">
        <v>74</v>
      </c>
      <c r="Z215" s="57">
        <f>$U$48</f>
        <v>450000</v>
      </c>
    </row>
    <row r="216" spans="23:32" x14ac:dyDescent="0.4">
      <c r="W216" s="3" t="s">
        <v>455</v>
      </c>
      <c r="X216" s="10" t="s">
        <v>570</v>
      </c>
      <c r="Y216" s="27" t="s">
        <v>74</v>
      </c>
      <c r="Z216" s="57">
        <f>IF($O$22=0, 0, 1)</f>
        <v>0</v>
      </c>
      <c r="AA216" s="43"/>
    </row>
    <row r="217" spans="23:32" x14ac:dyDescent="0.4">
      <c r="W217" s="3" t="s">
        <v>76</v>
      </c>
      <c r="X217" s="10" t="s">
        <v>499</v>
      </c>
      <c r="Y217" s="27" t="s">
        <v>74</v>
      </c>
      <c r="Z217" s="57">
        <f>IF($I$56=1, 0, 1)</f>
        <v>0</v>
      </c>
      <c r="AA217" s="43"/>
    </row>
    <row r="218" spans="23:32" x14ac:dyDescent="0.4">
      <c r="W218" s="3" t="s">
        <v>78</v>
      </c>
      <c r="X218" s="10" t="s">
        <v>571</v>
      </c>
      <c r="Y218" s="27" t="s">
        <v>78</v>
      </c>
      <c r="Z218" s="57" t="str">
        <f>IF($Z$216&lt;&gt;0, $O$23, "#0")</f>
        <v>#0</v>
      </c>
      <c r="AA218" s="43"/>
    </row>
    <row r="219" spans="23:32" x14ac:dyDescent="0.4">
      <c r="W219" s="3" t="s">
        <v>77</v>
      </c>
      <c r="X219" s="10" t="s">
        <v>571</v>
      </c>
      <c r="Y219" s="27" t="s">
        <v>77</v>
      </c>
      <c r="Z219" s="57" t="str">
        <f>IF($Z$216&lt;&gt;0, $O$24, "#0")</f>
        <v>#0</v>
      </c>
      <c r="AA219" s="43"/>
    </row>
    <row r="220" spans="23:32" x14ac:dyDescent="0.4">
      <c r="W220" s="3" t="s">
        <v>75</v>
      </c>
      <c r="X220" s="9" t="s">
        <v>421</v>
      </c>
      <c r="Y220" s="11" t="s">
        <v>75</v>
      </c>
      <c r="Z220" s="27">
        <f>$Z$9</f>
        <v>500.01300874967268</v>
      </c>
      <c r="AA220" s="27">
        <f>$U$9+$Z$220</f>
        <v>-649.9609912503272</v>
      </c>
    </row>
    <row r="221" spans="23:32" x14ac:dyDescent="0.4">
      <c r="W221" s="3" t="s">
        <v>445</v>
      </c>
      <c r="X221" s="9" t="s">
        <v>422</v>
      </c>
      <c r="Y221" s="11" t="s">
        <v>75</v>
      </c>
      <c r="Z221" s="27">
        <f>$Z$4</f>
        <v>390</v>
      </c>
      <c r="AA221" s="44"/>
    </row>
    <row r="222" spans="23:32" x14ac:dyDescent="0.4">
      <c r="W222" s="3" t="s">
        <v>439</v>
      </c>
      <c r="X222" s="9" t="s">
        <v>4</v>
      </c>
      <c r="Y222" s="11" t="s">
        <v>74</v>
      </c>
      <c r="Z222" s="27">
        <f>$C$8</f>
        <v>6933.25</v>
      </c>
    </row>
    <row r="223" spans="23:32" x14ac:dyDescent="0.4">
      <c r="W223" s="3" t="s">
        <v>453</v>
      </c>
      <c r="X223" s="9" t="s">
        <v>476</v>
      </c>
      <c r="Y223" s="11" t="s">
        <v>74</v>
      </c>
      <c r="Z223" s="27">
        <f>$I$57</f>
        <v>0.5</v>
      </c>
    </row>
    <row r="224" spans="23:32" x14ac:dyDescent="0.4">
      <c r="W224" s="3" t="s">
        <v>448</v>
      </c>
      <c r="X224" s="9" t="s">
        <v>502</v>
      </c>
      <c r="Y224" s="11" t="s">
        <v>74</v>
      </c>
      <c r="Z224" s="27">
        <f ca="1">$AF$115</f>
        <v>6</v>
      </c>
    </row>
    <row r="225" spans="23:27" x14ac:dyDescent="0.4">
      <c r="W225" s="3" t="s">
        <v>446</v>
      </c>
      <c r="X225" s="9" t="s">
        <v>412</v>
      </c>
      <c r="Y225" s="11" t="s">
        <v>74</v>
      </c>
      <c r="Z225" s="27">
        <f>$C$20</f>
        <v>7.0000000000000007E-2</v>
      </c>
      <c r="AA225" s="5"/>
    </row>
    <row r="226" spans="23:27" x14ac:dyDescent="0.4">
      <c r="X226" s="21"/>
      <c r="Z226" s="19"/>
      <c r="AA226" s="5"/>
    </row>
    <row r="227" spans="23:27" x14ac:dyDescent="0.4">
      <c r="X227" s="22" t="s">
        <v>494</v>
      </c>
      <c r="Y227" s="25"/>
      <c r="Z227" s="25"/>
      <c r="AA227" s="5"/>
    </row>
    <row r="228" spans="23:27" x14ac:dyDescent="0.4">
      <c r="W228" s="3" t="s">
        <v>446</v>
      </c>
      <c r="X228" s="9" t="s">
        <v>347</v>
      </c>
      <c r="Y228" s="11" t="s">
        <v>74</v>
      </c>
      <c r="Z228" s="57">
        <f>$U$17</f>
        <v>2</v>
      </c>
      <c r="AA228" s="43"/>
    </row>
    <row r="229" spans="23:27" ht="15" thickBot="1" x14ac:dyDescent="0.45">
      <c r="W229" s="3" t="s">
        <v>76</v>
      </c>
      <c r="X229" s="64" t="s">
        <v>511</v>
      </c>
      <c r="Y229" s="65" t="s">
        <v>76</v>
      </c>
      <c r="Z229" s="66">
        <f>$Z$14</f>
        <v>179.09299999999999</v>
      </c>
      <c r="AA229" s="27">
        <f>-$U$10+$Z$229</f>
        <v>179.01999999999998</v>
      </c>
    </row>
    <row r="230" spans="23:27" ht="15" thickTop="1" x14ac:dyDescent="0.4">
      <c r="W230" s="3" t="s">
        <v>463</v>
      </c>
      <c r="X230" s="9" t="s">
        <v>360</v>
      </c>
      <c r="Y230" s="11" t="s">
        <v>74</v>
      </c>
      <c r="Z230" s="57">
        <f>$U$42</f>
        <v>410000</v>
      </c>
    </row>
    <row r="231" spans="23:27" x14ac:dyDescent="0.4">
      <c r="W231" s="3" t="s">
        <v>75</v>
      </c>
      <c r="X231" s="9" t="s">
        <v>407</v>
      </c>
      <c r="Y231" s="11" t="s">
        <v>75</v>
      </c>
      <c r="Z231" s="27">
        <f>$Z$10</f>
        <v>499.98699125032732</v>
      </c>
      <c r="AA231" s="27">
        <f>$U$9+$Z$231</f>
        <v>-649.98700874967267</v>
      </c>
    </row>
    <row r="232" spans="23:27" x14ac:dyDescent="0.4">
      <c r="W232" s="3" t="s">
        <v>448</v>
      </c>
      <c r="X232" s="9" t="s">
        <v>478</v>
      </c>
      <c r="Y232" s="11" t="s">
        <v>74</v>
      </c>
      <c r="Z232" s="27">
        <f ca="1">$AF$118</f>
        <v>6</v>
      </c>
    </row>
    <row r="233" spans="23:27" x14ac:dyDescent="0.4">
      <c r="Z233" s="5"/>
      <c r="AA233" s="5"/>
    </row>
    <row r="234" spans="23:27" x14ac:dyDescent="0.4">
      <c r="X234" s="4" t="s">
        <v>493</v>
      </c>
      <c r="Z234" s="5"/>
    </row>
    <row r="235" spans="23:27" x14ac:dyDescent="0.4">
      <c r="W235" s="3" t="s">
        <v>446</v>
      </c>
      <c r="X235" s="9" t="s">
        <v>347</v>
      </c>
      <c r="Y235" s="11" t="s">
        <v>74</v>
      </c>
      <c r="Z235" s="57">
        <f>IF($I$3&lt;&gt;1,$U$23,$U$24)</f>
        <v>16</v>
      </c>
      <c r="AA235" s="43"/>
    </row>
    <row r="236" spans="23:27" ht="15" thickBot="1" x14ac:dyDescent="0.45">
      <c r="W236" s="3" t="s">
        <v>76</v>
      </c>
      <c r="X236" s="64" t="s">
        <v>511</v>
      </c>
      <c r="Y236" s="65" t="s">
        <v>76</v>
      </c>
      <c r="Z236" s="66">
        <f>$Z$14</f>
        <v>179.09299999999999</v>
      </c>
      <c r="AA236" s="27">
        <f>-$U$10+$Z$261</f>
        <v>179.01999999999998</v>
      </c>
    </row>
    <row r="237" spans="23:27" ht="15" thickTop="1" x14ac:dyDescent="0.4">
      <c r="W237" s="3" t="s">
        <v>463</v>
      </c>
      <c r="X237" s="9" t="s">
        <v>360</v>
      </c>
      <c r="Y237" s="11" t="s">
        <v>74</v>
      </c>
      <c r="Z237" s="57">
        <f>$U$43</f>
        <v>420000</v>
      </c>
    </row>
    <row r="238" spans="23:27" x14ac:dyDescent="0.4">
      <c r="W238" s="3" t="s">
        <v>78</v>
      </c>
      <c r="X238" s="9" t="s">
        <v>483</v>
      </c>
      <c r="Y238" s="11" t="s">
        <v>78</v>
      </c>
      <c r="Z238" s="27">
        <f>$AF$18</f>
        <v>154</v>
      </c>
      <c r="AA238" s="43"/>
    </row>
    <row r="239" spans="23:27" x14ac:dyDescent="0.4">
      <c r="W239" s="3" t="s">
        <v>77</v>
      </c>
      <c r="X239" s="9" t="s">
        <v>484</v>
      </c>
      <c r="Y239" s="11" t="s">
        <v>77</v>
      </c>
      <c r="Z239" s="27">
        <f>$AF$19</f>
        <v>153</v>
      </c>
      <c r="AA239" s="43"/>
    </row>
    <row r="240" spans="23:27" x14ac:dyDescent="0.4">
      <c r="W240" s="3" t="s">
        <v>454</v>
      </c>
      <c r="X240" s="9" t="s">
        <v>57</v>
      </c>
      <c r="Y240" s="11" t="s">
        <v>78</v>
      </c>
      <c r="Z240" s="27">
        <f>$AF$16</f>
        <v>155.5</v>
      </c>
      <c r="AA240" s="60"/>
    </row>
    <row r="241" spans="23:27" x14ac:dyDescent="0.4">
      <c r="W241" s="3" t="s">
        <v>456</v>
      </c>
      <c r="X241" s="9" t="s">
        <v>8</v>
      </c>
      <c r="Y241" s="11" t="s">
        <v>77</v>
      </c>
      <c r="Z241" s="27">
        <f>$AF$17</f>
        <v>154</v>
      </c>
      <c r="AA241" s="60"/>
    </row>
    <row r="242" spans="23:27" x14ac:dyDescent="0.4">
      <c r="W242" s="3" t="s">
        <v>75</v>
      </c>
      <c r="X242" s="9" t="s">
        <v>407</v>
      </c>
      <c r="Y242" s="11" t="s">
        <v>75</v>
      </c>
      <c r="Z242" s="27">
        <f>$Z$10</f>
        <v>499.98699125032732</v>
      </c>
      <c r="AA242" s="27">
        <f>$U$9+$Z$242</f>
        <v>-649.98700874967267</v>
      </c>
    </row>
    <row r="243" spans="23:27" x14ac:dyDescent="0.4">
      <c r="W243" s="3" t="s">
        <v>448</v>
      </c>
      <c r="X243" s="9" t="s">
        <v>485</v>
      </c>
      <c r="Y243" s="11" t="s">
        <v>74</v>
      </c>
      <c r="Z243" s="27">
        <f>$I$9</f>
        <v>15</v>
      </c>
      <c r="AA243" s="60"/>
    </row>
    <row r="244" spans="23:27" x14ac:dyDescent="0.4">
      <c r="W244" s="3" t="s">
        <v>453</v>
      </c>
      <c r="X244" s="9" t="s">
        <v>469</v>
      </c>
      <c r="Y244" s="11" t="s">
        <v>75</v>
      </c>
      <c r="Z244" s="27">
        <f>$AF$21</f>
        <v>10</v>
      </c>
      <c r="AA244" s="60"/>
    </row>
    <row r="245" spans="23:27" x14ac:dyDescent="0.4">
      <c r="X245" s="2"/>
      <c r="Y245" s="19"/>
      <c r="Z245" s="5"/>
      <c r="AA245" s="5"/>
    </row>
    <row r="246" spans="23:27" x14ac:dyDescent="0.4">
      <c r="X246" s="4" t="s">
        <v>557</v>
      </c>
      <c r="Z246" s="5"/>
    </row>
    <row r="247" spans="23:27" x14ac:dyDescent="0.4">
      <c r="W247" s="3" t="s">
        <v>446</v>
      </c>
      <c r="X247" s="9" t="s">
        <v>347</v>
      </c>
      <c r="Y247" s="11" t="s">
        <v>74</v>
      </c>
      <c r="Z247" s="57">
        <f>IF($I$3&lt;&gt;1,$U$23,$U$24)</f>
        <v>16</v>
      </c>
      <c r="AA247" s="43"/>
    </row>
    <row r="248" spans="23:27" ht="15" thickBot="1" x14ac:dyDescent="0.45">
      <c r="W248" s="3" t="s">
        <v>76</v>
      </c>
      <c r="X248" s="64" t="s">
        <v>511</v>
      </c>
      <c r="Y248" s="65" t="s">
        <v>76</v>
      </c>
      <c r="Z248" s="66">
        <f>$Z$14</f>
        <v>179.09299999999999</v>
      </c>
      <c r="AA248" s="27">
        <f>-$U$10+$Z$261</f>
        <v>179.01999999999998</v>
      </c>
    </row>
    <row r="249" spans="23:27" ht="15" thickTop="1" x14ac:dyDescent="0.4">
      <c r="W249" s="3" t="s">
        <v>463</v>
      </c>
      <c r="X249" s="9" t="s">
        <v>360</v>
      </c>
      <c r="Y249" s="11" t="s">
        <v>74</v>
      </c>
      <c r="Z249" s="57">
        <f>$U$44</f>
        <v>421000</v>
      </c>
    </row>
    <row r="250" spans="23:27" x14ac:dyDescent="0.4">
      <c r="W250" s="3" t="s">
        <v>78</v>
      </c>
      <c r="X250" s="9" t="s">
        <v>483</v>
      </c>
      <c r="Y250" s="11" t="s">
        <v>78</v>
      </c>
      <c r="Z250" s="27">
        <f>$AF$18</f>
        <v>154</v>
      </c>
      <c r="AA250" s="43"/>
    </row>
    <row r="251" spans="23:27" x14ac:dyDescent="0.4">
      <c r="W251" s="3" t="s">
        <v>77</v>
      </c>
      <c r="X251" s="9" t="s">
        <v>484</v>
      </c>
      <c r="Y251" s="11" t="s">
        <v>77</v>
      </c>
      <c r="Z251" s="27">
        <f>$AF$19</f>
        <v>153</v>
      </c>
      <c r="AA251" s="43"/>
    </row>
    <row r="252" spans="23:27" x14ac:dyDescent="0.4">
      <c r="W252" s="3" t="s">
        <v>454</v>
      </c>
      <c r="X252" s="9" t="s">
        <v>57</v>
      </c>
      <c r="Y252" s="11" t="s">
        <v>78</v>
      </c>
      <c r="Z252" s="27">
        <f>$AF$16</f>
        <v>155.5</v>
      </c>
      <c r="AA252" s="60"/>
    </row>
    <row r="253" spans="23:27" x14ac:dyDescent="0.4">
      <c r="W253" s="3" t="s">
        <v>456</v>
      </c>
      <c r="X253" s="9" t="s">
        <v>8</v>
      </c>
      <c r="Y253" s="11" t="s">
        <v>77</v>
      </c>
      <c r="Z253" s="27">
        <f>$AF$17</f>
        <v>154</v>
      </c>
      <c r="AA253" s="43"/>
    </row>
    <row r="254" spans="23:27" x14ac:dyDescent="0.4">
      <c r="W254" s="3" t="s">
        <v>75</v>
      </c>
      <c r="X254" s="9" t="s">
        <v>407</v>
      </c>
      <c r="Y254" s="11" t="s">
        <v>75</v>
      </c>
      <c r="Z254" s="27">
        <f>$Z$10</f>
        <v>499.98699125032732</v>
      </c>
      <c r="AA254" s="27">
        <f>$U$9+$Z$242</f>
        <v>-649.98700874967267</v>
      </c>
    </row>
    <row r="255" spans="23:27" x14ac:dyDescent="0.4">
      <c r="W255" s="3" t="s">
        <v>439</v>
      </c>
      <c r="X255" s="9" t="s">
        <v>4</v>
      </c>
      <c r="Y255" s="11" t="s">
        <v>74</v>
      </c>
      <c r="Z255" s="27">
        <f>$C$8</f>
        <v>6933.25</v>
      </c>
    </row>
    <row r="256" spans="23:27" x14ac:dyDescent="0.4">
      <c r="W256" s="3" t="s">
        <v>448</v>
      </c>
      <c r="X256" s="9" t="s">
        <v>485</v>
      </c>
      <c r="Y256" s="11" t="s">
        <v>74</v>
      </c>
      <c r="Z256" s="27">
        <f>$I$9</f>
        <v>15</v>
      </c>
      <c r="AA256" s="60"/>
    </row>
    <row r="257" spans="23:27" x14ac:dyDescent="0.4">
      <c r="W257" s="3" t="s">
        <v>453</v>
      </c>
      <c r="X257" s="9" t="s">
        <v>469</v>
      </c>
      <c r="Y257" s="11" t="s">
        <v>75</v>
      </c>
      <c r="Z257" s="27">
        <f>$AF$21</f>
        <v>10</v>
      </c>
      <c r="AA257" s="60"/>
    </row>
    <row r="258" spans="23:27" x14ac:dyDescent="0.4">
      <c r="X258" s="2"/>
      <c r="Y258" s="19"/>
      <c r="Z258" s="5"/>
      <c r="AA258" s="5"/>
    </row>
    <row r="259" spans="23:27" x14ac:dyDescent="0.4">
      <c r="X259" s="28" t="s">
        <v>495</v>
      </c>
      <c r="Y259" s="5"/>
      <c r="Z259" s="5"/>
      <c r="AA259" s="5"/>
    </row>
    <row r="260" spans="23:27" x14ac:dyDescent="0.4">
      <c r="W260" s="3" t="s">
        <v>446</v>
      </c>
      <c r="X260" s="9" t="s">
        <v>347</v>
      </c>
      <c r="Y260" s="11" t="s">
        <v>74</v>
      </c>
      <c r="Z260" s="57" cm="1">
        <f t="array" ref="Z260">_xlfn.IFS($I$43=15, $U$20, $I$43=30, $U$21, OR($I$43=45, $I$41=2), $U$22)</f>
        <v>13</v>
      </c>
    </row>
    <row r="261" spans="23:27" ht="15" thickBot="1" x14ac:dyDescent="0.45">
      <c r="W261" s="3" t="s">
        <v>76</v>
      </c>
      <c r="X261" s="64" t="s">
        <v>511</v>
      </c>
      <c r="Y261" s="65" t="s">
        <v>76</v>
      </c>
      <c r="Z261" s="66">
        <f>$Z$14</f>
        <v>179.09299999999999</v>
      </c>
      <c r="AA261" s="27">
        <f>-$U$10+$Z$261</f>
        <v>179.01999999999998</v>
      </c>
    </row>
    <row r="262" spans="23:27" ht="15" thickTop="1" x14ac:dyDescent="0.4">
      <c r="W262" s="3" t="s">
        <v>463</v>
      </c>
      <c r="X262" s="9" t="s">
        <v>360</v>
      </c>
      <c r="Y262" s="11" t="s">
        <v>74</v>
      </c>
      <c r="Z262" s="57">
        <f>$U$46</f>
        <v>440000</v>
      </c>
    </row>
    <row r="263" spans="23:27" x14ac:dyDescent="0.4">
      <c r="W263" s="3" t="s">
        <v>455</v>
      </c>
      <c r="X263" s="10" t="s">
        <v>486</v>
      </c>
      <c r="Y263" s="27" t="s">
        <v>74</v>
      </c>
      <c r="Z263" s="57">
        <f>$I$2</f>
        <v>1</v>
      </c>
      <c r="AA263" s="43"/>
    </row>
    <row r="264" spans="23:27" x14ac:dyDescent="0.4">
      <c r="W264" s="3" t="s">
        <v>76</v>
      </c>
      <c r="X264" s="10" t="s">
        <v>499</v>
      </c>
      <c r="Y264" s="27" t="s">
        <v>74</v>
      </c>
      <c r="Z264" s="57">
        <f>IF($I$41=1, 0, 1)</f>
        <v>0</v>
      </c>
      <c r="AA264" s="43"/>
    </row>
    <row r="265" spans="23:27" x14ac:dyDescent="0.4">
      <c r="W265" s="3" t="s">
        <v>78</v>
      </c>
      <c r="X265" s="9" t="s">
        <v>483</v>
      </c>
      <c r="Y265" s="11" t="s">
        <v>78</v>
      </c>
      <c r="Z265" s="27">
        <f>IF($Z$263&lt;&gt;0, $AF$18, "#0")</f>
        <v>154</v>
      </c>
      <c r="AA265" s="43"/>
    </row>
    <row r="266" spans="23:27" x14ac:dyDescent="0.4">
      <c r="W266" s="3" t="s">
        <v>77</v>
      </c>
      <c r="X266" s="9" t="s">
        <v>484</v>
      </c>
      <c r="Y266" s="11" t="s">
        <v>77</v>
      </c>
      <c r="Z266" s="27">
        <f>IF($Z$263&lt;&gt;0, $AF$19, "#0")</f>
        <v>153</v>
      </c>
      <c r="AA266" s="43"/>
    </row>
    <row r="267" spans="23:27" x14ac:dyDescent="0.4">
      <c r="W267" s="3" t="s">
        <v>75</v>
      </c>
      <c r="X267" s="9" t="s">
        <v>407</v>
      </c>
      <c r="Y267" s="11" t="s">
        <v>75</v>
      </c>
      <c r="Z267" s="27">
        <f>$Z$10</f>
        <v>499.98699125032732</v>
      </c>
      <c r="AA267" s="27">
        <f>$U$9+$Z$267</f>
        <v>-649.98700874967267</v>
      </c>
    </row>
    <row r="268" spans="23:27" x14ac:dyDescent="0.4">
      <c r="W268" s="3" t="s">
        <v>445</v>
      </c>
      <c r="X268" s="9" t="s">
        <v>406</v>
      </c>
      <c r="Y268" s="11" t="s">
        <v>75</v>
      </c>
      <c r="Z268" s="27">
        <f>$Z$5</f>
        <v>610</v>
      </c>
      <c r="AA268" s="44"/>
    </row>
    <row r="269" spans="23:27" x14ac:dyDescent="0.4">
      <c r="W269" s="3" t="s">
        <v>439</v>
      </c>
      <c r="X269" s="9" t="s">
        <v>4</v>
      </c>
      <c r="Y269" s="11" t="s">
        <v>74</v>
      </c>
      <c r="Z269" s="27">
        <f>$C$8</f>
        <v>6933.25</v>
      </c>
    </row>
    <row r="270" spans="23:27" x14ac:dyDescent="0.4">
      <c r="W270" s="3" t="s">
        <v>453</v>
      </c>
      <c r="X270" s="9" t="s">
        <v>496</v>
      </c>
      <c r="Y270" s="11" t="s">
        <v>74</v>
      </c>
      <c r="Z270" s="27">
        <f>$I$42</f>
        <v>0.5</v>
      </c>
    </row>
    <row r="271" spans="23:27" x14ac:dyDescent="0.4">
      <c r="W271" s="3" t="s">
        <v>448</v>
      </c>
      <c r="X271" s="9" t="s">
        <v>497</v>
      </c>
      <c r="Y271" s="11" t="s">
        <v>74</v>
      </c>
      <c r="Z271" s="27">
        <f>IF($I$2&lt;&gt;1, $C$17, $I$9)</f>
        <v>15</v>
      </c>
    </row>
    <row r="272" spans="23:27" x14ac:dyDescent="0.4">
      <c r="X272" s="21"/>
      <c r="Z272" s="19"/>
      <c r="AA272" s="5"/>
    </row>
    <row r="273" spans="23:27" x14ac:dyDescent="0.4">
      <c r="X273" s="28" t="s">
        <v>498</v>
      </c>
      <c r="Y273" s="5"/>
      <c r="Z273" s="5"/>
      <c r="AA273" s="5"/>
    </row>
    <row r="274" spans="23:27" x14ac:dyDescent="0.4">
      <c r="W274" s="3" t="s">
        <v>446</v>
      </c>
      <c r="X274" s="9" t="s">
        <v>347</v>
      </c>
      <c r="Y274" s="11" t="s">
        <v>74</v>
      </c>
      <c r="Z274" s="57" cm="1">
        <f t="array" ref="Z274">_xlfn.IFS($I$48=15, $U$20, $I$48=30, $U$21, OR($I$48=45, $I$46=2), $U$22)</f>
        <v>12</v>
      </c>
    </row>
    <row r="275" spans="23:27" ht="15" thickBot="1" x14ac:dyDescent="0.45">
      <c r="W275" s="3" t="s">
        <v>76</v>
      </c>
      <c r="X275" s="64" t="s">
        <v>511</v>
      </c>
      <c r="Y275" s="65" t="s">
        <v>76</v>
      </c>
      <c r="Z275" s="66">
        <f>$Z$14</f>
        <v>179.09299999999999</v>
      </c>
      <c r="AA275" s="27">
        <f>-$U$10+$Z$275</f>
        <v>179.01999999999998</v>
      </c>
    </row>
    <row r="276" spans="23:27" ht="15" thickTop="1" x14ac:dyDescent="0.4">
      <c r="W276" s="3" t="s">
        <v>463</v>
      </c>
      <c r="X276" s="9" t="s">
        <v>360</v>
      </c>
      <c r="Y276" s="11" t="s">
        <v>74</v>
      </c>
      <c r="Z276" s="57">
        <f>$U$48</f>
        <v>450000</v>
      </c>
    </row>
    <row r="277" spans="23:27" x14ac:dyDescent="0.4">
      <c r="W277" s="3" t="s">
        <v>76</v>
      </c>
      <c r="X277" s="10" t="s">
        <v>499</v>
      </c>
      <c r="Y277" s="27" t="s">
        <v>74</v>
      </c>
      <c r="Z277" s="57">
        <f>IF($I$46=1, 0, 1)</f>
        <v>0</v>
      </c>
      <c r="AA277" s="43"/>
    </row>
    <row r="278" spans="23:27" x14ac:dyDescent="0.4">
      <c r="W278" s="3" t="s">
        <v>75</v>
      </c>
      <c r="X278" s="9" t="s">
        <v>407</v>
      </c>
      <c r="Y278" s="11" t="s">
        <v>75</v>
      </c>
      <c r="Z278" s="27">
        <f>$Z$10</f>
        <v>499.98699125032732</v>
      </c>
      <c r="AA278" s="27">
        <f>$U$9+$Z$278</f>
        <v>-649.98700874967267</v>
      </c>
    </row>
    <row r="279" spans="23:27" x14ac:dyDescent="0.4">
      <c r="W279" s="3" t="s">
        <v>445</v>
      </c>
      <c r="X279" s="9" t="s">
        <v>406</v>
      </c>
      <c r="Y279" s="11" t="s">
        <v>75</v>
      </c>
      <c r="Z279" s="27">
        <f>$Z$5</f>
        <v>610</v>
      </c>
      <c r="AA279" s="44"/>
    </row>
    <row r="280" spans="23:27" x14ac:dyDescent="0.4">
      <c r="W280" s="3" t="s">
        <v>439</v>
      </c>
      <c r="X280" s="9" t="s">
        <v>4</v>
      </c>
      <c r="Y280" s="11" t="s">
        <v>74</v>
      </c>
      <c r="Z280" s="27">
        <f>$C$8</f>
        <v>6933.25</v>
      </c>
    </row>
    <row r="281" spans="23:27" x14ac:dyDescent="0.4">
      <c r="W281" s="3" t="s">
        <v>453</v>
      </c>
      <c r="X281" s="9" t="s">
        <v>500</v>
      </c>
      <c r="Y281" s="11" t="s">
        <v>74</v>
      </c>
      <c r="Z281" s="27">
        <f>$I$47</f>
        <v>8</v>
      </c>
    </row>
    <row r="282" spans="23:27" x14ac:dyDescent="0.4">
      <c r="W282" s="3" t="s">
        <v>448</v>
      </c>
      <c r="X282" s="9" t="s">
        <v>501</v>
      </c>
      <c r="Y282" s="11" t="s">
        <v>74</v>
      </c>
      <c r="Z282" s="27">
        <f ca="1">$AF$118</f>
        <v>6</v>
      </c>
    </row>
    <row r="283" spans="23:27" x14ac:dyDescent="0.4">
      <c r="W283" s="3" t="s">
        <v>446</v>
      </c>
      <c r="X283" s="9" t="s">
        <v>412</v>
      </c>
      <c r="Y283" s="11" t="s">
        <v>74</v>
      </c>
      <c r="Z283" s="27">
        <f>$C$20</f>
        <v>7.0000000000000007E-2</v>
      </c>
      <c r="AA283" s="5"/>
    </row>
    <row r="284" spans="23:27" x14ac:dyDescent="0.4">
      <c r="X284" s="21"/>
      <c r="Z284" s="19"/>
      <c r="AA284" s="5"/>
    </row>
    <row r="285" spans="23:27" x14ac:dyDescent="0.4">
      <c r="X285" s="28" t="s">
        <v>543</v>
      </c>
      <c r="Y285" s="5"/>
      <c r="Z285" s="5"/>
      <c r="AA285" s="5"/>
    </row>
    <row r="286" spans="23:27" x14ac:dyDescent="0.4">
      <c r="W286" s="3" t="s">
        <v>446</v>
      </c>
      <c r="X286" s="9" t="s">
        <v>347</v>
      </c>
      <c r="Y286" s="11" t="s">
        <v>74</v>
      </c>
      <c r="Z286" s="57">
        <f>$U$30</f>
        <v>50</v>
      </c>
    </row>
    <row r="287" spans="23:27" x14ac:dyDescent="0.4">
      <c r="W287" s="3" t="s">
        <v>463</v>
      </c>
      <c r="X287" s="9" t="s">
        <v>360</v>
      </c>
      <c r="Y287" s="11" t="s">
        <v>74</v>
      </c>
      <c r="Z287" s="57">
        <f>$U$39</f>
        <v>150002</v>
      </c>
    </row>
    <row r="288" spans="23:27" x14ac:dyDescent="0.4">
      <c r="W288" s="3" t="s">
        <v>445</v>
      </c>
      <c r="X288" s="9" t="s">
        <v>421</v>
      </c>
      <c r="Y288" s="11" t="s">
        <v>78</v>
      </c>
      <c r="Z288" s="27">
        <f>$Z$9</f>
        <v>500.01300874967268</v>
      </c>
      <c r="AA288" s="27">
        <f>$U$8+$Z$288</f>
        <v>-50.005991250327327</v>
      </c>
    </row>
    <row r="289" spans="23:27" x14ac:dyDescent="0.4">
      <c r="W289" s="3" t="s">
        <v>75</v>
      </c>
      <c r="X289" s="9" t="s">
        <v>407</v>
      </c>
      <c r="Y289" s="11" t="s">
        <v>78</v>
      </c>
      <c r="Z289" s="27">
        <f>$Z$10</f>
        <v>499.98699125032732</v>
      </c>
      <c r="AA289" s="27">
        <f>$U$8-$Z$289</f>
        <v>-1050.0059912503273</v>
      </c>
    </row>
    <row r="290" spans="23:27" x14ac:dyDescent="0.4">
      <c r="W290" s="3" t="s">
        <v>446</v>
      </c>
      <c r="X290" s="9" t="s">
        <v>433</v>
      </c>
      <c r="Y290" s="11" t="s">
        <v>75</v>
      </c>
      <c r="Z290" s="27">
        <f>$AF$22</f>
        <v>154</v>
      </c>
      <c r="AA290" s="43"/>
    </row>
    <row r="291" spans="23:27" x14ac:dyDescent="0.4">
      <c r="W291" s="3" t="s">
        <v>454</v>
      </c>
      <c r="X291" s="9" t="s">
        <v>434</v>
      </c>
      <c r="Y291" s="11" t="s">
        <v>77</v>
      </c>
      <c r="Z291" s="27">
        <f>$AF$23</f>
        <v>153</v>
      </c>
      <c r="AA291" s="43"/>
    </row>
    <row r="292" spans="23:27" x14ac:dyDescent="0.4">
      <c r="W292" s="3" t="s">
        <v>76</v>
      </c>
      <c r="X292" s="9" t="s">
        <v>483</v>
      </c>
      <c r="Y292" s="11" t="s">
        <v>75</v>
      </c>
      <c r="Z292" s="27">
        <f>$AF$18</f>
        <v>154</v>
      </c>
      <c r="AA292" s="43"/>
    </row>
    <row r="293" spans="23:27" x14ac:dyDescent="0.4">
      <c r="W293" s="3" t="s">
        <v>447</v>
      </c>
      <c r="X293" s="9" t="s">
        <v>484</v>
      </c>
      <c r="Y293" s="11" t="s">
        <v>77</v>
      </c>
      <c r="Z293" s="27">
        <f>$AF$19</f>
        <v>153</v>
      </c>
      <c r="AA293" s="43"/>
    </row>
    <row r="294" spans="23:27" x14ac:dyDescent="0.4">
      <c r="W294" s="3" t="s">
        <v>449</v>
      </c>
      <c r="X294" s="9" t="s">
        <v>30</v>
      </c>
      <c r="Y294" s="11" t="s">
        <v>78</v>
      </c>
      <c r="Z294" s="27">
        <f>$Z$195</f>
        <v>10</v>
      </c>
      <c r="AA294" s="60"/>
    </row>
    <row r="295" spans="23:27" x14ac:dyDescent="0.4">
      <c r="W295" s="3" t="s">
        <v>450</v>
      </c>
      <c r="X295" s="9" t="s">
        <v>505</v>
      </c>
      <c r="Y295" s="11" t="s">
        <v>75</v>
      </c>
      <c r="Z295" s="27">
        <f>$I$23</f>
        <v>0</v>
      </c>
      <c r="AA295" s="60"/>
    </row>
    <row r="296" spans="23:27" x14ac:dyDescent="0.4">
      <c r="W296" s="3" t="s">
        <v>453</v>
      </c>
      <c r="X296" s="9" t="s">
        <v>469</v>
      </c>
      <c r="Y296" s="11" t="s">
        <v>78</v>
      </c>
      <c r="Z296" s="27">
        <f>$AF$21</f>
        <v>10</v>
      </c>
      <c r="AA296" s="60"/>
    </row>
    <row r="297" spans="23:27" x14ac:dyDescent="0.4">
      <c r="W297" s="3" t="s">
        <v>455</v>
      </c>
      <c r="X297" s="9" t="s">
        <v>462</v>
      </c>
      <c r="Y297" s="11" t="s">
        <v>76</v>
      </c>
      <c r="Z297" s="27">
        <f>$Z$13</f>
        <v>-0.90700000000000003</v>
      </c>
      <c r="AA297" s="5"/>
    </row>
    <row r="298" spans="23:27" x14ac:dyDescent="0.4">
      <c r="Z298" s="5"/>
    </row>
    <row r="299" spans="23:27" x14ac:dyDescent="0.4">
      <c r="X299" s="30" t="s">
        <v>319</v>
      </c>
      <c r="Y299" s="25"/>
      <c r="Z299" s="25"/>
    </row>
    <row r="300" spans="23:27" x14ac:dyDescent="0.4">
      <c r="X300" s="9" t="s">
        <v>321</v>
      </c>
      <c r="Y300" s="11" t="s">
        <v>77</v>
      </c>
      <c r="Z300" s="11"/>
    </row>
    <row r="301" spans="23:27" x14ac:dyDescent="0.4">
      <c r="X301" s="9" t="s">
        <v>320</v>
      </c>
      <c r="Y301" s="11" t="s">
        <v>78</v>
      </c>
      <c r="Z301" s="11"/>
    </row>
    <row r="302" spans="23:27" x14ac:dyDescent="0.4">
      <c r="Z302" s="5"/>
    </row>
    <row r="303" spans="23:27" x14ac:dyDescent="0.4">
      <c r="W303" s="61"/>
      <c r="X303" s="62" t="s">
        <v>507</v>
      </c>
      <c r="Y303" s="63"/>
      <c r="Z303" s="63"/>
      <c r="AA303" s="63"/>
    </row>
    <row r="304" spans="23:27" x14ac:dyDescent="0.4">
      <c r="Y304" s="5"/>
      <c r="Z304" s="5"/>
      <c r="AA304" s="5"/>
    </row>
    <row r="305" spans="2:36" x14ac:dyDescent="0.4">
      <c r="X305" s="30" t="s">
        <v>367</v>
      </c>
      <c r="Z305" s="25"/>
    </row>
    <row r="306" spans="2:36" x14ac:dyDescent="0.4">
      <c r="W306" s="3" t="s">
        <v>161</v>
      </c>
      <c r="X306" s="31" t="s">
        <v>368</v>
      </c>
      <c r="Y306" s="27" t="s">
        <v>74</v>
      </c>
      <c r="Z306" s="40" t="e">
        <f>$O$6/$O$5+1</f>
        <v>#DIV/0!</v>
      </c>
    </row>
    <row r="307" spans="2:36" x14ac:dyDescent="0.4">
      <c r="W307" s="3" t="s">
        <v>162</v>
      </c>
      <c r="X307" s="10" t="s">
        <v>369</v>
      </c>
      <c r="Y307" s="27" t="s">
        <v>74</v>
      </c>
      <c r="Z307" s="41" t="e">
        <f>$O$7/$O$5+1</f>
        <v>#DIV/0!</v>
      </c>
    </row>
    <row r="308" spans="2:36" x14ac:dyDescent="0.4">
      <c r="X308" s="10" t="s">
        <v>381</v>
      </c>
      <c r="Y308" s="27" t="s">
        <v>74</v>
      </c>
      <c r="Z308" s="41">
        <f>_xlfn.CEILING.MATH($O$8/2)</f>
        <v>0</v>
      </c>
    </row>
    <row r="309" spans="2:36" x14ac:dyDescent="0.4">
      <c r="X309" s="10" t="s">
        <v>382</v>
      </c>
      <c r="Y309" s="11" t="s">
        <v>74</v>
      </c>
      <c r="Z309" s="41">
        <f>QUOTIENT($O$8,2)</f>
        <v>0</v>
      </c>
    </row>
    <row r="310" spans="2:36" x14ac:dyDescent="0.4">
      <c r="X310" s="28" t="s">
        <v>383</v>
      </c>
      <c r="Y310" s="55"/>
    </row>
    <row r="311" spans="2:36" x14ac:dyDescent="0.4">
      <c r="W311" s="3" t="s">
        <v>205</v>
      </c>
      <c r="X311" s="10" t="str">
        <f>IF($O$8&gt;=3,"ディンプル1列目-トップ端 湾曲中心間X距離", "-")</f>
        <v>-</v>
      </c>
      <c r="Y311" s="11" t="s">
        <v>78</v>
      </c>
      <c r="Z311" s="27" t="str">
        <f>IF($O$8&gt;=$U$13-5,$AF$105-$AF$31, "-")</f>
        <v>-</v>
      </c>
    </row>
    <row r="312" spans="2:36" ht="16.5" x14ac:dyDescent="0.4">
      <c r="W312" s="3" t="s">
        <v>206</v>
      </c>
      <c r="X312" s="10" t="str">
        <f>IF($O$8&gt;=4,"ディンプル2列目-トップ端 湾曲中心間X距離", "-")</f>
        <v>-</v>
      </c>
      <c r="Y312" s="11" t="s">
        <v>78</v>
      </c>
      <c r="Z312" s="27" t="str">
        <f>IF($O$8&gt;=$U13-4,$AF$106-$AF$31, "-")</f>
        <v>-</v>
      </c>
    </row>
    <row r="313" spans="2:36" s="3" customFormat="1" x14ac:dyDescent="0.4">
      <c r="B313" s="1"/>
      <c r="C313" s="5"/>
      <c r="D313" s="71"/>
      <c r="E313" s="7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X313" s="10" t="str">
        <f>IF($O$8&gt;=5,"ディンプル3列目-トップ端 湾曲中心間X距離", "-")</f>
        <v>-</v>
      </c>
      <c r="Y313" s="11" t="s">
        <v>78</v>
      </c>
      <c r="Z313" s="27" t="str">
        <f>IF($O$8&gt;=$U$13-3,$AF$107-$AF$31, "-")</f>
        <v>-</v>
      </c>
      <c r="AB313" s="1"/>
      <c r="AD313" s="37"/>
      <c r="AE313" s="45"/>
      <c r="AF313" s="2"/>
      <c r="AG313" s="1"/>
      <c r="AH313" s="1"/>
      <c r="AI313" s="1"/>
      <c r="AJ313" s="1"/>
    </row>
    <row r="314" spans="2:36" s="3" customFormat="1" x14ac:dyDescent="0.4">
      <c r="B314" s="1"/>
      <c r="C314" s="5"/>
      <c r="D314" s="71"/>
      <c r="E314" s="7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X314" s="10" t="str">
        <f>IF($O$8&gt;=6,"ディンプル4列目-トップ端 湾曲中心間X距離", "-")</f>
        <v>-</v>
      </c>
      <c r="Y314" s="11" t="s">
        <v>78</v>
      </c>
      <c r="Z314" s="27" t="str">
        <f>IF($O$8&gt;=$U$13-2,$AF$108-$AF$31, "-")</f>
        <v>-</v>
      </c>
      <c r="AB314" s="1"/>
      <c r="AD314" s="37"/>
      <c r="AE314" s="45"/>
      <c r="AF314" s="2"/>
      <c r="AG314" s="1"/>
      <c r="AH314" s="1"/>
      <c r="AI314" s="1"/>
      <c r="AJ314" s="1"/>
    </row>
    <row r="315" spans="2:36" s="3" customFormat="1" x14ac:dyDescent="0.4">
      <c r="B315" s="1"/>
      <c r="C315" s="5"/>
      <c r="D315" s="71"/>
      <c r="E315" s="7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X315" s="10" t="str">
        <f>IF($O$8&gt;=7,"ディンプル5列目-トップ端 湾曲中心間X距離", "-")</f>
        <v>-</v>
      </c>
      <c r="Y315" s="11" t="s">
        <v>78</v>
      </c>
      <c r="Z315" s="27" t="str">
        <f>IF($O$8&gt;=$U13-1,$AF$109-$AF$31, "-")</f>
        <v>-</v>
      </c>
      <c r="AB315" s="1"/>
      <c r="AD315" s="37"/>
      <c r="AE315" s="45"/>
      <c r="AF315" s="2"/>
      <c r="AG315" s="1"/>
      <c r="AH315" s="1"/>
      <c r="AI315" s="1"/>
      <c r="AJ315" s="1"/>
    </row>
    <row r="316" spans="2:36" s="3" customFormat="1" x14ac:dyDescent="0.4">
      <c r="B316" s="1"/>
      <c r="C316" s="5"/>
      <c r="D316" s="71"/>
      <c r="E316" s="7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X316" s="10" t="str">
        <f>IF($O$8&gt;=8,"ディンプル6列目-トップ端 湾曲中心間X距離", "-")</f>
        <v>-</v>
      </c>
      <c r="Y316" s="11" t="s">
        <v>78</v>
      </c>
      <c r="Z316" s="27" t="str">
        <f>IF($O$8&gt;=$U13,$AF$110-$AF$31, "-")</f>
        <v>-</v>
      </c>
      <c r="AB316" s="1"/>
      <c r="AD316" s="37"/>
      <c r="AE316" s="45"/>
      <c r="AF316" s="2"/>
      <c r="AG316" s="1"/>
      <c r="AH316" s="1"/>
      <c r="AI316" s="1"/>
      <c r="AJ316" s="1"/>
    </row>
    <row r="317" spans="2:36" s="3" customFormat="1" x14ac:dyDescent="0.4">
      <c r="B317" s="1"/>
      <c r="C317" s="5"/>
      <c r="D317" s="71"/>
      <c r="E317" s="7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X317" s="10" t="s">
        <v>384</v>
      </c>
      <c r="Y317" s="11" t="s">
        <v>78</v>
      </c>
      <c r="Z317" s="27">
        <f>$AF$111-$AF$31</f>
        <v>0</v>
      </c>
      <c r="AB317" s="1"/>
      <c r="AD317" s="37"/>
      <c r="AE317" s="45"/>
      <c r="AF317" s="2"/>
      <c r="AG317" s="1"/>
      <c r="AH317" s="1"/>
      <c r="AI317" s="1"/>
      <c r="AJ317" s="1"/>
    </row>
    <row r="318" spans="2:36" s="3" customFormat="1" x14ac:dyDescent="0.4">
      <c r="B318" s="1"/>
      <c r="C318" s="5"/>
      <c r="D318" s="71"/>
      <c r="E318" s="7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3" t="s">
        <v>207</v>
      </c>
      <c r="X318" s="10" t="s">
        <v>385</v>
      </c>
      <c r="Y318" s="11" t="s">
        <v>78</v>
      </c>
      <c r="Z318" s="27">
        <f>$AF$112-$AF$31</f>
        <v>0</v>
      </c>
      <c r="AB318" s="1"/>
      <c r="AD318" s="37"/>
      <c r="AE318" s="45"/>
      <c r="AF318" s="2"/>
      <c r="AG318" s="1"/>
      <c r="AH318" s="1"/>
      <c r="AI318" s="1"/>
      <c r="AJ318" s="1"/>
    </row>
    <row r="319" spans="2:36" s="3" customFormat="1" x14ac:dyDescent="0.4">
      <c r="B319" s="1"/>
      <c r="C319" s="5"/>
      <c r="D319" s="71"/>
      <c r="E319" s="7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3" t="s">
        <v>247</v>
      </c>
      <c r="X319" s="9" t="str">
        <f>IF($O$8&gt;=3,"（傾き前）1列目Z座標","-")</f>
        <v>-</v>
      </c>
      <c r="Y319" s="11" t="s">
        <v>75</v>
      </c>
      <c r="Z319" s="49" t="str">
        <f>IF($O$8&gt;=3,$Z$9-$O$3,"-")</f>
        <v>-</v>
      </c>
      <c r="AA319" s="27" t="str">
        <f>IF($O$8&gt;=3,$U$9+Z319,"-")</f>
        <v>-</v>
      </c>
      <c r="AB319" s="1"/>
      <c r="AD319" s="37"/>
      <c r="AE319" s="45"/>
      <c r="AF319" s="2"/>
      <c r="AG319" s="1"/>
      <c r="AH319" s="1"/>
      <c r="AI319" s="1"/>
      <c r="AJ319" s="1"/>
    </row>
    <row r="320" spans="2:36" s="3" customFormat="1" x14ac:dyDescent="0.4">
      <c r="B320" s="1"/>
      <c r="C320" s="5"/>
      <c r="D320" s="71"/>
      <c r="E320" s="7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3" t="s">
        <v>246</v>
      </c>
      <c r="X320" s="9" t="str">
        <f>IF($O$8&gt;=4,"（傾き前）2列目Z座標","-")</f>
        <v>-</v>
      </c>
      <c r="Y320" s="11" t="s">
        <v>75</v>
      </c>
      <c r="Z320" s="49" t="str">
        <f>IF($O$8&gt;=4,$Z$9-$O$3-$O$4,"-")</f>
        <v>-</v>
      </c>
      <c r="AA320" s="27" t="str">
        <f>IF($O$8&gt;=4,$U$9+Z320,"-")</f>
        <v>-</v>
      </c>
      <c r="AB320" s="1"/>
      <c r="AD320" s="37"/>
      <c r="AE320" s="45"/>
      <c r="AF320" s="2"/>
      <c r="AG320" s="1"/>
      <c r="AH320" s="1"/>
      <c r="AI320" s="1"/>
      <c r="AJ320" s="1"/>
    </row>
    <row r="321" spans="2:36" s="3" customFormat="1" x14ac:dyDescent="0.4">
      <c r="B321" s="1"/>
      <c r="C321" s="5"/>
      <c r="D321" s="71"/>
      <c r="E321" s="7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X321" s="9" t="str">
        <f>IF($O$8&gt;=5,"（傾き前）3列目Z座標","-")</f>
        <v>-</v>
      </c>
      <c r="Y321" s="11" t="s">
        <v>75</v>
      </c>
      <c r="Z321" s="49" t="str">
        <f>IF($O$8&gt;=5,$Z$9-$O$3-2*$O$4,"-")</f>
        <v>-</v>
      </c>
      <c r="AA321" s="27" t="str">
        <f>IF($O$8&gt;=5,$U$9+Z321,"-")</f>
        <v>-</v>
      </c>
      <c r="AB321" s="1"/>
      <c r="AD321" s="37"/>
      <c r="AE321" s="45"/>
      <c r="AF321" s="2"/>
      <c r="AG321" s="1"/>
      <c r="AH321" s="1"/>
      <c r="AI321" s="1"/>
      <c r="AJ321" s="1"/>
    </row>
    <row r="322" spans="2:36" s="3" customFormat="1" x14ac:dyDescent="0.4">
      <c r="B322" s="1"/>
      <c r="C322" s="5"/>
      <c r="D322" s="71"/>
      <c r="E322" s="7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X322" s="9" t="str">
        <f>IF($O$8&gt;=6,"（傾き前）4列目Z座標","-")</f>
        <v>-</v>
      </c>
      <c r="Y322" s="11" t="s">
        <v>75</v>
      </c>
      <c r="Z322" s="49" t="str">
        <f>IF($O$8&gt;=6,$Z$9-$O$3-3*$O$4,"-")</f>
        <v>-</v>
      </c>
      <c r="AA322" s="27" t="str">
        <f>IF($O$8&gt;=6,$U$9+Z322,"-")</f>
        <v>-</v>
      </c>
      <c r="AB322" s="1"/>
      <c r="AD322" s="37"/>
      <c r="AE322" s="45"/>
      <c r="AF322" s="2"/>
      <c r="AG322" s="1"/>
      <c r="AH322" s="1"/>
      <c r="AI322" s="1"/>
      <c r="AJ322" s="1"/>
    </row>
    <row r="323" spans="2:36" s="3" customFormat="1" x14ac:dyDescent="0.4">
      <c r="B323" s="1"/>
      <c r="C323" s="5"/>
      <c r="D323" s="71"/>
      <c r="E323" s="7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X323" s="9" t="str">
        <f>IF($O$8&gt;=7,"（傾き前）5列目Z座標","-")</f>
        <v>-</v>
      </c>
      <c r="Y323" s="11" t="s">
        <v>75</v>
      </c>
      <c r="Z323" s="49" t="str">
        <f>IF($O$8&gt;=7,$Z$9-$O$3-4*$O$4,"-")</f>
        <v>-</v>
      </c>
      <c r="AA323" s="27" t="str">
        <f>IF($O$8&gt;=7,$U$9+Z323,"-")</f>
        <v>-</v>
      </c>
      <c r="AB323" s="1"/>
      <c r="AD323" s="37"/>
      <c r="AE323" s="45"/>
      <c r="AF323" s="2"/>
      <c r="AG323" s="1"/>
      <c r="AH323" s="1"/>
      <c r="AI323" s="1"/>
      <c r="AJ323" s="1"/>
    </row>
    <row r="324" spans="2:36" s="3" customFormat="1" x14ac:dyDescent="0.4">
      <c r="B324" s="1"/>
      <c r="C324" s="5"/>
      <c r="D324" s="71"/>
      <c r="E324" s="7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X324" s="9" t="str">
        <f>IF($O$8&gt;=8,"（傾き前）6列目Z座標","-")</f>
        <v>-</v>
      </c>
      <c r="Y324" s="11" t="s">
        <v>75</v>
      </c>
      <c r="Z324" s="49" t="str">
        <f>IF($O$8&gt;=8,$Z$9-$O$3-5*$O$4,"-")</f>
        <v>-</v>
      </c>
      <c r="AA324" s="27" t="str">
        <f>IF($O$8&gt;=8,$U$9+Z324,"-")</f>
        <v>-</v>
      </c>
      <c r="AB324" s="1"/>
      <c r="AD324" s="37"/>
      <c r="AE324" s="45"/>
      <c r="AF324" s="2"/>
      <c r="AG324" s="1"/>
      <c r="AH324" s="1"/>
      <c r="AI324" s="1"/>
      <c r="AJ324" s="1"/>
    </row>
    <row r="325" spans="2:36" s="3" customFormat="1" x14ac:dyDescent="0.4">
      <c r="B325" s="1"/>
      <c r="C325" s="5"/>
      <c r="D325" s="71"/>
      <c r="E325" s="7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X325" s="9" t="s">
        <v>248</v>
      </c>
      <c r="Y325" s="11" t="s">
        <v>75</v>
      </c>
      <c r="Z325" s="49">
        <f>$Z$9-$O$3-($O$8-2)*$O$4</f>
        <v>500.01300874967268</v>
      </c>
      <c r="AA325" s="27">
        <f>$U$9+Z325</f>
        <v>-649.9609912503272</v>
      </c>
      <c r="AB325" s="1"/>
      <c r="AD325" s="37"/>
      <c r="AE325" s="45"/>
      <c r="AF325" s="2"/>
      <c r="AG325" s="1"/>
      <c r="AH325" s="1"/>
      <c r="AI325" s="1"/>
      <c r="AJ325" s="1"/>
    </row>
    <row r="326" spans="2:36" s="3" customFormat="1" x14ac:dyDescent="0.4">
      <c r="B326" s="1"/>
      <c r="C326" s="5"/>
      <c r="D326" s="71"/>
      <c r="E326" s="7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3" t="s">
        <v>250</v>
      </c>
      <c r="X326" s="9" t="s">
        <v>249</v>
      </c>
      <c r="Y326" s="11" t="s">
        <v>75</v>
      </c>
      <c r="Z326" s="49">
        <f>$Z$9-$O$3-($O$8-1)*$O$4</f>
        <v>500.01300874967268</v>
      </c>
      <c r="AA326" s="27">
        <f>$U$9+Z326</f>
        <v>-649.9609912503272</v>
      </c>
      <c r="AB326" s="1"/>
      <c r="AD326" s="37"/>
      <c r="AE326" s="45"/>
      <c r="AF326" s="2"/>
      <c r="AG326" s="1"/>
      <c r="AH326" s="1"/>
      <c r="AI326" s="1"/>
      <c r="AJ326" s="1"/>
    </row>
    <row r="327" spans="2:36" s="3" customFormat="1" x14ac:dyDescent="0.4">
      <c r="B327" s="1"/>
      <c r="C327" s="5"/>
      <c r="D327" s="71"/>
      <c r="E327" s="7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3" t="s">
        <v>210</v>
      </c>
      <c r="X327" s="10" t="s">
        <v>213</v>
      </c>
      <c r="Y327" s="27" t="s">
        <v>78</v>
      </c>
      <c r="Z327" s="27">
        <f ca="1">$AF$113+$C$20*2</f>
        <v>135.63993964202419</v>
      </c>
      <c r="AB327" s="1"/>
      <c r="AD327" s="37"/>
      <c r="AE327" s="45"/>
      <c r="AF327" s="2"/>
      <c r="AG327" s="1"/>
      <c r="AH327" s="1"/>
      <c r="AI327" s="1"/>
      <c r="AJ327" s="1"/>
    </row>
    <row r="328" spans="2:36" s="3" customFormat="1" x14ac:dyDescent="0.4">
      <c r="B328" s="1"/>
      <c r="C328" s="5"/>
      <c r="D328" s="71"/>
      <c r="E328" s="7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3" t="s">
        <v>212</v>
      </c>
      <c r="X328" s="10" t="str">
        <f>IF($O$8&gt;=3,"1列目 AC内径（水平・めっき含・概算）","-")</f>
        <v>-</v>
      </c>
      <c r="Y328" s="27" t="s">
        <v>78</v>
      </c>
      <c r="Z328" s="27" t="str">
        <f>IF($O$8&gt;=3,($AF$89*$AF$127+$AF$97*$AF$119)/($AF$81-$AF$73)+$C$20*2,"-")</f>
        <v>-</v>
      </c>
      <c r="AB328" s="1"/>
      <c r="AD328" s="37"/>
      <c r="AE328" s="45"/>
      <c r="AF328" s="2"/>
      <c r="AG328" s="1"/>
      <c r="AH328" s="1"/>
      <c r="AI328" s="1"/>
      <c r="AJ328" s="1"/>
    </row>
    <row r="329" spans="2:36" x14ac:dyDescent="0.4">
      <c r="X329" s="10" t="s">
        <v>214</v>
      </c>
      <c r="Y329" s="47" t="s">
        <v>78</v>
      </c>
      <c r="Z329" s="27">
        <f ca="1">($AF$96*$AF$134+$AF$104*$AF$126)/($AF$88-$AF$80)+$C$20*2</f>
        <v>135.63993964202419</v>
      </c>
    </row>
    <row r="330" spans="2:36" x14ac:dyDescent="0.4">
      <c r="X330" s="10" t="s">
        <v>387</v>
      </c>
      <c r="Y330" s="27" t="s">
        <v>76</v>
      </c>
      <c r="Z330" s="27" t="e">
        <f ca="1">$Z$13+$Z$131</f>
        <v>#VALUE!</v>
      </c>
      <c r="AA330" s="27" t="e">
        <f ca="1">-$U$10+$Z$330</f>
        <v>#VALUE!</v>
      </c>
    </row>
    <row r="331" spans="2:36" x14ac:dyDescent="0.4">
      <c r="W331" s="3" t="s">
        <v>225</v>
      </c>
      <c r="X331" s="48" t="s">
        <v>388</v>
      </c>
      <c r="Y331" s="11" t="s">
        <v>76</v>
      </c>
      <c r="Z331" s="47" t="e">
        <f ca="1">DEGREES($AF$149)</f>
        <v>#VALUE!</v>
      </c>
    </row>
    <row r="332" spans="2:36" x14ac:dyDescent="0.4">
      <c r="W332" s="3" t="s">
        <v>225</v>
      </c>
      <c r="X332" s="48" t="s">
        <v>389</v>
      </c>
      <c r="Y332" s="11" t="s">
        <v>76</v>
      </c>
      <c r="Z332" s="47" t="e">
        <f ca="1">$Z$13+$Z$331</f>
        <v>#VALUE!</v>
      </c>
      <c r="AA332" s="47" t="e">
        <f ca="1">-$U$10+$Z$332</f>
        <v>#VALUE!</v>
      </c>
    </row>
    <row r="333" spans="2:36" x14ac:dyDescent="0.4">
      <c r="X333" s="10" t="s">
        <v>390</v>
      </c>
      <c r="Y333" s="50" t="s">
        <v>78</v>
      </c>
      <c r="Z333" s="27">
        <f ca="1">MIN($AF$152, $AF$153)</f>
        <v>67.819969821012094</v>
      </c>
    </row>
    <row r="334" spans="2:36" x14ac:dyDescent="0.4">
      <c r="W334" s="3" t="s">
        <v>251</v>
      </c>
      <c r="X334" s="10" t="s">
        <v>291</v>
      </c>
      <c r="Y334" s="11" t="s">
        <v>77</v>
      </c>
      <c r="Z334" s="27" t="e">
        <f ca="1">($AF$89*$AF$162+$AF$97*$AF$154)/($AF$81-$AF$73)+$C$20*2</f>
        <v>#VALUE!</v>
      </c>
    </row>
    <row r="335" spans="2:36" x14ac:dyDescent="0.4">
      <c r="X335" s="10" t="s">
        <v>253</v>
      </c>
      <c r="Y335" s="11" t="s">
        <v>77</v>
      </c>
      <c r="Z335" s="27">
        <f ca="1">($AF$96*$AF$169+$AF$104*$AF$161)/($AF$88-$AF$80)+$C$20*2</f>
        <v>134.11746841009108</v>
      </c>
    </row>
    <row r="336" spans="2:36" x14ac:dyDescent="0.4">
      <c r="X336" s="28" t="s">
        <v>392</v>
      </c>
      <c r="Y336" s="55"/>
    </row>
    <row r="337" spans="24:26" x14ac:dyDescent="0.4">
      <c r="X337" s="10" t="str">
        <f>IF($O$8&gt;=3,"ディンプル1列目-トップ端 湾曲中心間X距離", "-")</f>
        <v>-</v>
      </c>
      <c r="Y337" s="11" t="s">
        <v>78</v>
      </c>
      <c r="Z337" s="27" t="str">
        <f>IF($O$8&gt;=$U$13-5,$Z$311*$AF$143-$O$3*$AF$142, "-")</f>
        <v>-</v>
      </c>
    </row>
    <row r="338" spans="24:26" x14ac:dyDescent="0.4">
      <c r="X338" s="10" t="str">
        <f>IF($O$8&gt;=4,"ディンプル2列目-トップ端 湾曲中心間X距離", "-")</f>
        <v>-</v>
      </c>
      <c r="Y338" s="11" t="s">
        <v>78</v>
      </c>
      <c r="Z338" s="27" t="str">
        <f>IF($O$8&gt;=$U$13-4,$Z$312*$AF$143-($O$3+$O4)*$AF$142, "-")</f>
        <v>-</v>
      </c>
    </row>
    <row r="339" spans="24:26" x14ac:dyDescent="0.4">
      <c r="X339" s="10" t="str">
        <f>IF($O$8&gt;=5,"ディンプル3列目-トップ端 湾曲中心間X距離", "-")</f>
        <v>-</v>
      </c>
      <c r="Y339" s="11" t="s">
        <v>78</v>
      </c>
      <c r="Z339" s="27" t="str">
        <f>IF($O$8&gt;=$U$13-3,$Z$313*$AF$143-($O$3+2*$O$4)*$AF$142, "-")</f>
        <v>-</v>
      </c>
    </row>
    <row r="340" spans="24:26" x14ac:dyDescent="0.4">
      <c r="X340" s="10" t="str">
        <f>IF($O$8&gt;=6,"ディンプル4列目-トップ端 湾曲中心間X距離", "-")</f>
        <v>-</v>
      </c>
      <c r="Y340" s="11" t="s">
        <v>78</v>
      </c>
      <c r="Z340" s="27" t="str">
        <f>IF($O$8&gt;=$U$13-2,$Z$314*$AF$143-($O$3+3*$O$4)*$AF$142, "-")</f>
        <v>-</v>
      </c>
    </row>
    <row r="341" spans="24:26" x14ac:dyDescent="0.4">
      <c r="X341" s="10" t="str">
        <f>IF($O$8&gt;=7,"ディンプル5列目-トップ端 湾曲中心間X距離", "-")</f>
        <v>-</v>
      </c>
      <c r="Y341" s="11" t="s">
        <v>78</v>
      </c>
      <c r="Z341" s="27" t="str">
        <f>IF($O$8&gt;=$U$13-1,$Z$315*$AF$143-($O$3+4*$O$4)*$AF$142, "-")</f>
        <v>-</v>
      </c>
    </row>
    <row r="342" spans="24:26" x14ac:dyDescent="0.4">
      <c r="X342" s="10" t="str">
        <f>IF($O$8&gt;=8,"ディンプル6列目-トップ端 湾曲中心間X距離", "-")</f>
        <v>-</v>
      </c>
      <c r="Y342" s="11" t="s">
        <v>78</v>
      </c>
      <c r="Z342" s="27" t="str">
        <f>IF($O$8&gt;=$U$13,$Z$316*$AF$143-($O$3+5*$O$4)*$AF$142, "-")</f>
        <v>-</v>
      </c>
    </row>
    <row r="343" spans="24:26" x14ac:dyDescent="0.4">
      <c r="X343" s="10" t="s">
        <v>384</v>
      </c>
      <c r="Y343" s="11" t="s">
        <v>78</v>
      </c>
      <c r="Z343" s="27" t="e">
        <f ca="1">$Z$317*$AF$143-($O$3+($O$8-2)*$O$4)*$AF$142</f>
        <v>#VALUE!</v>
      </c>
    </row>
    <row r="344" spans="24:26" x14ac:dyDescent="0.4">
      <c r="X344" s="10" t="s">
        <v>385</v>
      </c>
      <c r="Y344" s="11" t="s">
        <v>78</v>
      </c>
      <c r="Z344" s="27" t="e">
        <f ca="1">$Z$318*$AF$143-($O$3+($O$8-1)*$O$4)*$AF$142</f>
        <v>#VALUE!</v>
      </c>
    </row>
    <row r="345" spans="24:26" x14ac:dyDescent="0.4">
      <c r="X345" s="10" t="str">
        <f>IF($O$8&gt;=3,"ディンプル1列目-トップ端 湾曲中心間Z距離", "-")</f>
        <v>-</v>
      </c>
      <c r="Y345" s="11" t="s">
        <v>75</v>
      </c>
      <c r="Z345" s="27" t="str">
        <f>IF($O$8&gt;=$U$13-5,$Z$311*$AF$142+$O$3*$AF$143, "-")</f>
        <v>-</v>
      </c>
    </row>
    <row r="346" spans="24:26" x14ac:dyDescent="0.4">
      <c r="X346" s="10" t="str">
        <f>IF($O$8&gt;=4,"ディンプル2列目-トップ端 湾曲中心間Z距離", "-")</f>
        <v>-</v>
      </c>
      <c r="Y346" s="11" t="s">
        <v>75</v>
      </c>
      <c r="Z346" s="27" t="str">
        <f>IF($O$8&gt;=$U$13-4,$Z$312*$AF$142+($O$3+$O$4)*$AF$143, "-")</f>
        <v>-</v>
      </c>
    </row>
    <row r="347" spans="24:26" x14ac:dyDescent="0.4">
      <c r="X347" s="10" t="str">
        <f>IF($O$8&gt;=5,"ディンプル3列目-トップ端 湾曲中心間Z距離", "-")</f>
        <v>-</v>
      </c>
      <c r="Y347" s="11" t="s">
        <v>75</v>
      </c>
      <c r="Z347" s="27" t="str">
        <f>IF($O$8&gt;=$U$13-3,$Z$313*$AF$142+($O$3+2*$O$4)*$AF$143, "-")</f>
        <v>-</v>
      </c>
    </row>
    <row r="348" spans="24:26" x14ac:dyDescent="0.4">
      <c r="X348" s="10" t="str">
        <f>IF($O$8&gt;=6,"ディンプル4列目-トップ端 湾曲中心間Z距離", "-")</f>
        <v>-</v>
      </c>
      <c r="Y348" s="11" t="s">
        <v>75</v>
      </c>
      <c r="Z348" s="27" t="str">
        <f>IF($O$8&gt;=$U$13-2,$Z$314*$AF$142+($O$3+3*$O$4)*$AF$143, "-")</f>
        <v>-</v>
      </c>
    </row>
    <row r="349" spans="24:26" x14ac:dyDescent="0.4">
      <c r="X349" s="10" t="str">
        <f>IF($O$8&gt;=7,"ディンプル5列目-トップ端 湾曲中心間Z距離", "-")</f>
        <v>-</v>
      </c>
      <c r="Y349" s="11" t="s">
        <v>75</v>
      </c>
      <c r="Z349" s="27" t="str">
        <f>IF($O$8&gt;=$U$13-1,$Z$315*$AF$142+($O$3+4*$O$4)*$AF$143, "-")</f>
        <v>-</v>
      </c>
    </row>
    <row r="350" spans="24:26" x14ac:dyDescent="0.4">
      <c r="X350" s="10" t="str">
        <f>IF($O$8&gt;=8,"ディンプル6列目-トップ端 湾曲中心間Z距離", "-")</f>
        <v>-</v>
      </c>
      <c r="Y350" s="3" t="s">
        <v>75</v>
      </c>
      <c r="Z350" s="27" t="str">
        <f>IF($O$8&gt;=$U$13-0,$Z$316*$AF$142+($O$3+5*$O$4)*$AF$143, "-")</f>
        <v>-</v>
      </c>
    </row>
    <row r="351" spans="24:26" x14ac:dyDescent="0.4">
      <c r="X351" s="10" t="s">
        <v>394</v>
      </c>
      <c r="Y351" s="11" t="s">
        <v>75</v>
      </c>
      <c r="Z351" s="27" t="e">
        <f ca="1">$Z$317*$AF$142+($O$3+($O$8-2)*$O$4)*$AF$143</f>
        <v>#VALUE!</v>
      </c>
    </row>
    <row r="352" spans="24:26" x14ac:dyDescent="0.4">
      <c r="X352" s="10" t="s">
        <v>395</v>
      </c>
      <c r="Y352" s="11" t="s">
        <v>75</v>
      </c>
      <c r="Z352" s="27" t="e">
        <f ca="1">$Z$318*$AF$142+($O$3+($O$8-1)*$O$4)*$AF$143</f>
        <v>#VALUE!</v>
      </c>
    </row>
    <row r="353" spans="23:27" x14ac:dyDescent="0.4">
      <c r="X353" s="28" t="s">
        <v>396</v>
      </c>
      <c r="Y353" s="55"/>
    </row>
    <row r="354" spans="23:27" x14ac:dyDescent="0.4">
      <c r="W354" s="3" t="s">
        <v>282</v>
      </c>
      <c r="X354" s="9" t="s">
        <v>287</v>
      </c>
      <c r="Y354" s="11" t="s">
        <v>78</v>
      </c>
      <c r="Z354" s="27">
        <f>$AA$24-$U8</f>
        <v>-26.740322378808742</v>
      </c>
      <c r="AA354" s="27">
        <f>$U$8+Z354</f>
        <v>-576.75932237880875</v>
      </c>
    </row>
    <row r="355" spans="23:27" x14ac:dyDescent="0.4">
      <c r="W355" s="3" t="s">
        <v>283</v>
      </c>
      <c r="X355" s="9" t="s">
        <v>288</v>
      </c>
      <c r="Y355" s="11" t="s">
        <v>75</v>
      </c>
      <c r="Z355" s="27">
        <f>$Z$9</f>
        <v>500.01300874967268</v>
      </c>
      <c r="AA355" s="27">
        <f>$U$9+Z355</f>
        <v>-649.9609912503272</v>
      </c>
    </row>
    <row r="356" spans="23:27" x14ac:dyDescent="0.4">
      <c r="W356" s="3" t="s">
        <v>284</v>
      </c>
      <c r="X356" s="9" t="s">
        <v>289</v>
      </c>
      <c r="Y356" s="11" t="s">
        <v>78</v>
      </c>
      <c r="Z356" s="27" t="e">
        <f ca="1">$Z$354*$AF$143+$Z$355*$AF$142</f>
        <v>#VALUE!</v>
      </c>
      <c r="AA356" s="27" t="e">
        <f ca="1">$U$8+Z356</f>
        <v>#VALUE!</v>
      </c>
    </row>
    <row r="357" spans="23:27" x14ac:dyDescent="0.4">
      <c r="W357" s="3" t="s">
        <v>285</v>
      </c>
      <c r="X357" s="9" t="s">
        <v>290</v>
      </c>
      <c r="Y357" s="50" t="s">
        <v>75</v>
      </c>
      <c r="Z357" s="27" t="e">
        <f ca="1">-$Z$354*$AF$142+$Z$355*$AF$143</f>
        <v>#VALUE!</v>
      </c>
      <c r="AA357" s="27" t="e">
        <f ca="1">$U$9+Z357</f>
        <v>#VALUE!</v>
      </c>
    </row>
    <row r="358" spans="23:27" x14ac:dyDescent="0.4">
      <c r="X358" s="9" t="s">
        <v>286</v>
      </c>
      <c r="Y358" s="47" t="s">
        <v>78</v>
      </c>
      <c r="Z358" s="27" t="e">
        <f ca="1">$Z$356-$Z$354</f>
        <v>#VALUE!</v>
      </c>
    </row>
    <row r="359" spans="23:27" x14ac:dyDescent="0.4">
      <c r="X359" s="9" t="s">
        <v>622</v>
      </c>
      <c r="Y359" s="50" t="s">
        <v>75</v>
      </c>
      <c r="Z359" s="27" t="e">
        <f ca="1">$Z$357-$Z$355</f>
        <v>#VALUE!</v>
      </c>
    </row>
  </sheetData>
  <phoneticPr fontId="1"/>
  <conditionalFormatting sqref="B12:C12">
    <cfRule type="expression" dxfId="393" priority="61">
      <formula>$C$7&lt;&gt;1</formula>
    </cfRule>
  </conditionalFormatting>
  <conditionalFormatting sqref="H9:I9 H5:K8 H3:I4 W242:AA242">
    <cfRule type="expression" dxfId="392" priority="34">
      <formula>$I$2&lt;&gt;1</formula>
    </cfRule>
  </conditionalFormatting>
  <conditionalFormatting sqref="H5:K5">
    <cfRule type="expression" dxfId="391" priority="57">
      <formula>$I$4&lt;&gt;0</formula>
    </cfRule>
  </conditionalFormatting>
  <conditionalFormatting sqref="H12:I14 H15:K18 H19:I19 W150:AA150 W151:Z154 W144:Z149">
    <cfRule type="expression" dxfId="390" priority="30">
      <formula>$I$11&lt;&gt;1</formula>
    </cfRule>
  </conditionalFormatting>
  <conditionalFormatting sqref="H13:I13">
    <cfRule type="expression" dxfId="389" priority="58">
      <formula>$I$11&lt;&gt;1</formula>
    </cfRule>
  </conditionalFormatting>
  <conditionalFormatting sqref="H33:I33">
    <cfRule type="expression" dxfId="388" priority="17">
      <formula>$I$27=1</formula>
    </cfRule>
  </conditionalFormatting>
  <conditionalFormatting sqref="H37:I37">
    <cfRule type="expression" dxfId="387" priority="160">
      <formula>AND($I$26&lt;&gt;1, $I$26&lt;&gt;5)</formula>
    </cfRule>
  </conditionalFormatting>
  <conditionalFormatting sqref="H38:I38">
    <cfRule type="expression" dxfId="386" priority="158">
      <formula>AND($I$26&lt;&gt;2, $I$26&lt;&gt;5)</formula>
    </cfRule>
  </conditionalFormatting>
  <conditionalFormatting sqref="X120:AA120 X121:Z131 X118:Z119 X134:Z134 N3:O12">
    <cfRule type="expression" dxfId="385" priority="1">
      <formula>$O$2&lt;&gt;1</formula>
    </cfRule>
  </conditionalFormatting>
  <conditionalFormatting sqref="H43:I43">
    <cfRule type="expression" dxfId="384" priority="155">
      <formula>$I$41&lt;&gt;1</formula>
    </cfRule>
  </conditionalFormatting>
  <conditionalFormatting sqref="H48:I48">
    <cfRule type="expression" dxfId="383" priority="154">
      <formula>$I$46&lt;&gt;1</formula>
    </cfRule>
  </conditionalFormatting>
  <conditionalFormatting sqref="H53:I53">
    <cfRule type="expression" dxfId="382" priority="138">
      <formula>$I$51&lt;&gt;1</formula>
    </cfRule>
  </conditionalFormatting>
  <conditionalFormatting sqref="H58:I58">
    <cfRule type="expression" dxfId="381" priority="143">
      <formula>$I$56&lt;&gt;1</formula>
    </cfRule>
  </conditionalFormatting>
  <conditionalFormatting sqref="N16:O20 W166:AA166 W157:Z165">
    <cfRule type="expression" dxfId="380" priority="101">
      <formula>$O$15&lt;&gt;1</formula>
    </cfRule>
  </conditionalFormatting>
  <conditionalFormatting sqref="N23:O26 W173:AA173 W174:Z175 W169:Z172">
    <cfRule type="expression" dxfId="379" priority="83">
      <formula>$O$22&lt;&gt;1</formula>
    </cfRule>
  </conditionalFormatting>
  <conditionalFormatting sqref="H18:K18">
    <cfRule type="expression" dxfId="378" priority="105">
      <formula>$I$14&lt;&gt;1</formula>
    </cfRule>
  </conditionalFormatting>
  <conditionalFormatting sqref="H28:K28 H33:I33 H35:I35">
    <cfRule type="expression" dxfId="377" priority="15">
      <formula>$I$26=4</formula>
    </cfRule>
  </conditionalFormatting>
  <conditionalFormatting sqref="H32:K32">
    <cfRule type="expression" dxfId="376" priority="205">
      <formula>$I$27=0</formula>
    </cfRule>
  </conditionalFormatting>
  <conditionalFormatting sqref="C8">
    <cfRule type="expression" dxfId="375" priority="198">
      <formula>OR($C$8&lt;0, ISBLANK($C$8))</formula>
    </cfRule>
  </conditionalFormatting>
  <conditionalFormatting sqref="C10">
    <cfRule type="expression" dxfId="374" priority="191">
      <formula>OR(ISBLANK($C$10), $C$10&lt;0, $Z$9&lt;364, $Z$10&lt;345)</formula>
    </cfRule>
  </conditionalFormatting>
  <conditionalFormatting sqref="C15:C16">
    <cfRule type="expression" dxfId="373" priority="192">
      <formula>$C$15&lt;=0</formula>
    </cfRule>
  </conditionalFormatting>
  <conditionalFormatting sqref="C17">
    <cfRule type="expression" dxfId="372" priority="165">
      <formula>OR($C$17&lt;=0, $C$17&gt;=MIN($C$15, $C$16)/4)</formula>
    </cfRule>
  </conditionalFormatting>
  <conditionalFormatting sqref="I2">
    <cfRule type="expression" dxfId="371" priority="164">
      <formula>OR(ISBLANK($I$2), AND($I$2&lt;&gt;0, $I$2&lt;&gt;1))</formula>
    </cfRule>
  </conditionalFormatting>
  <conditionalFormatting sqref="I3">
    <cfRule type="expression" dxfId="370" priority="130">
      <formula>OR(ISBLANK($I$3), AND($I$3&lt;&gt;0, $I$3&lt;&gt;1))</formula>
    </cfRule>
  </conditionalFormatting>
  <conditionalFormatting sqref="I4">
    <cfRule type="expression" dxfId="369" priority="98">
      <formula>OR(ISBLANK($I$4), AND($I$4&lt;&gt;0, $I$4&lt;&gt;1))</formula>
    </cfRule>
  </conditionalFormatting>
  <conditionalFormatting sqref="I8">
    <cfRule type="expression" dxfId="368" priority="197">
      <formula>IF($I$2=1,OR(IFBLANK($I$8), $I$8&lt;=0, $I$8&gt;=$Z$10/4),$I$8&lt;&gt;"")</formula>
    </cfRule>
  </conditionalFormatting>
  <conditionalFormatting sqref="I9">
    <cfRule type="expression" dxfId="367" priority="129">
      <formula>OR($I$9&lt;1, $I$9&gt;=MIN($I$6, $I$7)/4)</formula>
    </cfRule>
  </conditionalFormatting>
  <conditionalFormatting sqref="I11">
    <cfRule type="expression" dxfId="366" priority="176">
      <formula>OR(ISBLANK($I$11), AND($I$11&lt;&gt;0, $I$11&lt;&gt;1))</formula>
    </cfRule>
  </conditionalFormatting>
  <conditionalFormatting sqref="I12">
    <cfRule type="expression" dxfId="365" priority="156">
      <formula>OR(ISBLANK($I$12), AND($I$12&lt;&gt;0, $I$12&lt;&gt;1))</formula>
    </cfRule>
  </conditionalFormatting>
  <conditionalFormatting sqref="I13">
    <cfRule type="expression" dxfId="364" priority="59">
      <formula>OR(ISBLANK($I$13), AND($I$13&lt;&gt;0, $I$13&lt;&gt;1))</formula>
    </cfRule>
  </conditionalFormatting>
  <conditionalFormatting sqref="I14">
    <cfRule type="expression" dxfId="363" priority="133">
      <formula>OR(ISBLANK($I$14), AND($I$14&lt;&gt;0, $I$14&lt;&gt;1))</formula>
    </cfRule>
  </conditionalFormatting>
  <conditionalFormatting sqref="I19">
    <cfRule type="expression" dxfId="362" priority="175">
      <formula>OR($I$19&lt;=0, $I$19&gt;=MIN($I$16, $I$17)/4, $I$19&lt;1)</formula>
    </cfRule>
  </conditionalFormatting>
  <conditionalFormatting sqref="I26">
    <cfRule type="expression" dxfId="361" priority="177">
      <formula>OR(ISBLANK($I$26), AND($I$26&lt;&gt;1, $I$26&lt;&gt;2,$I$26&lt;&gt;3, $I$26&lt;&gt;4, $I$26&lt;&gt;5))</formula>
    </cfRule>
  </conditionalFormatting>
  <conditionalFormatting sqref="I27">
    <cfRule type="expression" dxfId="360" priority="163">
      <formula>OR(ISBLANK($I$27), AND($I$27&lt;&gt;0, $I$27&lt;&gt;1))</formula>
    </cfRule>
  </conditionalFormatting>
  <conditionalFormatting sqref="I37">
    <cfRule type="expression" dxfId="359" priority="161">
      <formula>AND(OR($I$26=1, $I$26=5), OR($I$37&lt;=0, $I$37&gt;=MIN($I$28, $I$29)/4), ISBLANK($I$37))</formula>
    </cfRule>
  </conditionalFormatting>
  <conditionalFormatting sqref="I38">
    <cfRule type="expression" dxfId="358" priority="159">
      <formula>IF(OR($I$26=2, $I$26=5),OR($I$38&lt;=0, $I$38&gt;=MIN($I$28, $I$29)/4),$I$38&lt;&gt;"")</formula>
    </cfRule>
  </conditionalFormatting>
  <conditionalFormatting sqref="O2">
    <cfRule type="expression" dxfId="357" priority="95">
      <formula>OR(ISBLANK($O$2), AND($O$2&lt;&gt;0, $O$2&lt;&gt;1))</formula>
    </cfRule>
  </conditionalFormatting>
  <conditionalFormatting sqref="O6">
    <cfRule type="expression" dxfId="356" priority="201">
      <formula>OR(ISBLANK($O$6), $O$6&lt;=0, MOD($O$6,$O$5)&lt;&gt;0)</formula>
    </cfRule>
  </conditionalFormatting>
  <conditionalFormatting sqref="O11">
    <cfRule type="expression" dxfId="355" priority="135">
      <formula>OR(ISBLANK($O$11), AND($O$11&lt;&gt;20, $O$11&lt;&gt;6.6, $O$11&lt;&gt;15, $O$11&lt;&gt;8))</formula>
    </cfRule>
  </conditionalFormatting>
  <conditionalFormatting sqref="I43">
    <cfRule type="expression" dxfId="354" priority="169">
      <formula>IF($I$41=1,AND($I$43&lt;&gt;15, $I$43&lt;&gt;30, $I$43&lt;&gt;45),$I$43&lt;&gt;"")</formula>
    </cfRule>
  </conditionalFormatting>
  <conditionalFormatting sqref="C76">
    <cfRule type="expression" dxfId="353" priority="152">
      <formula>IF($C$75=1,OR($C$76&lt;=0, $C$76&gt;=#REF!/4),$C$76&lt;&gt;"")</formula>
    </cfRule>
  </conditionalFormatting>
  <conditionalFormatting sqref="I48">
    <cfRule type="expression" dxfId="352" priority="170">
      <formula>IF($I$46=1,AND($I$48&lt;&gt;15, $I$48&lt;&gt;30, $I$48&lt;&gt;45),$I$48&lt;&gt;"")</formula>
    </cfRule>
  </conditionalFormatting>
  <conditionalFormatting sqref="I53">
    <cfRule type="expression" dxfId="351" priority="140">
      <formula>IF($I$51=1,AND($I$53&lt;&gt;15, $I$53&lt;&gt;30, $I$53&lt;&gt;45),$I$53&lt;&gt;"")</formula>
    </cfRule>
  </conditionalFormatting>
  <conditionalFormatting sqref="I58">
    <cfRule type="expression" dxfId="350" priority="166">
      <formula>IF($I$56=1,AND($I$58&lt;&gt;15, $I$58&lt;&gt;30, $I$58&lt;&gt;45),$I$58&lt;&gt;"")</formula>
    </cfRule>
  </conditionalFormatting>
  <conditionalFormatting sqref="O22">
    <cfRule type="expression" dxfId="349" priority="96">
      <formula>OR(ISBLANK($O$22), AND($O$22&lt;&gt;0, $O$22&lt;&gt;1))</formula>
    </cfRule>
  </conditionalFormatting>
  <conditionalFormatting sqref="U3">
    <cfRule type="expression" dxfId="348" priority="194">
      <formula>AND(U3&lt;&gt;330, U3&lt;&gt;270, U3&lt;&gt;250)</formula>
    </cfRule>
  </conditionalFormatting>
  <conditionalFormatting sqref="U4">
    <cfRule type="expression" dxfId="347" priority="193">
      <formula>U4&lt;&gt;40</formula>
    </cfRule>
  </conditionalFormatting>
  <conditionalFormatting sqref="U7">
    <cfRule type="expression" dxfId="346" priority="187">
      <formula>OR(U7&gt;0, ABS(ABS(U7)-740)&gt;=1)</formula>
    </cfRule>
  </conditionalFormatting>
  <conditionalFormatting sqref="U8">
    <cfRule type="expression" dxfId="345" priority="190">
      <formula>OR(U8&gt;0, ABS(ABS(U8)-550)&gt;=1)</formula>
    </cfRule>
  </conditionalFormatting>
  <conditionalFormatting sqref="U9">
    <cfRule type="expression" dxfId="344" priority="188">
      <formula>OR(U9&gt;0, ABS(ABS(U9)-1150)&gt;=1)</formula>
    </cfRule>
  </conditionalFormatting>
  <conditionalFormatting sqref="U10">
    <cfRule type="expression" dxfId="343" priority="189">
      <formula>OR(ABS(U10)&gt;=0.2)</formula>
    </cfRule>
  </conditionalFormatting>
  <conditionalFormatting sqref="W63:Z66 W67:AA67 W68:Z71">
    <cfRule type="expression" dxfId="342" priority="235">
      <formula>$Z$63=""</formula>
    </cfRule>
  </conditionalFormatting>
  <conditionalFormatting sqref="W100:Z102 W103:AA103 W104:Z106">
    <cfRule type="expression" dxfId="341" priority="121">
      <formula>NOT($Z$100&lt;&gt;"")</formula>
    </cfRule>
  </conditionalFormatting>
  <conditionalFormatting sqref="X76:Z76">
    <cfRule type="expression" dxfId="340" priority="110">
      <formula>NOT($Z$42="")</formula>
    </cfRule>
  </conditionalFormatting>
  <conditionalFormatting sqref="X60:AA60">
    <cfRule type="expression" dxfId="339" priority="113">
      <formula>NOT($Z$42="")</formula>
    </cfRule>
  </conditionalFormatting>
  <conditionalFormatting sqref="X75:AA76">
    <cfRule type="expression" dxfId="338" priority="112">
      <formula>NOT($Z$63="")</formula>
    </cfRule>
  </conditionalFormatting>
  <conditionalFormatting sqref="X97:AA97">
    <cfRule type="expression" dxfId="337" priority="111">
      <formula>NOT($Z$79="")</formula>
    </cfRule>
  </conditionalFormatting>
  <conditionalFormatting sqref="X115:AA115">
    <cfRule type="expression" dxfId="336" priority="108">
      <formula>NOT($Z$110="")</formula>
    </cfRule>
  </conditionalFormatting>
  <conditionalFormatting sqref="Y4:Y5">
    <cfRule type="expression" dxfId="335" priority="64">
      <formula>Y4="Y"</formula>
    </cfRule>
    <cfRule type="expression" dxfId="334" priority="65">
      <formula>Y4="X"</formula>
    </cfRule>
    <cfRule type="expression" dxfId="333" priority="66">
      <formula>Y4="Z"</formula>
    </cfRule>
    <cfRule type="expression" dxfId="332" priority="67">
      <formula>Y4="B"</formula>
    </cfRule>
  </conditionalFormatting>
  <conditionalFormatting sqref="Y7:Y116 Y118:Y132 Y134:Y135 Y137:Y210 Y212:Y225 Y227:Y271 Y273:Y283 Y285:Y304 Y306:Y1048576">
    <cfRule type="expression" dxfId="331" priority="2168">
      <formula>Y7="X"</formula>
    </cfRule>
    <cfRule type="expression" dxfId="330" priority="2172">
      <formula>Y7="Z"</formula>
    </cfRule>
    <cfRule type="expression" dxfId="329" priority="2220">
      <formula>Y7="B"</formula>
    </cfRule>
  </conditionalFormatting>
  <conditionalFormatting sqref="Y7:Y116 Y137:Y210 Y285:Y304 Y227:Y271 Y118:Y132 Y134:Y135 Y212:Y225 Y273:Y283 Y306:Y1048576">
    <cfRule type="expression" dxfId="328" priority="2165">
      <formula>Y7="Y"</formula>
    </cfRule>
  </conditionalFormatting>
  <conditionalFormatting sqref="Z11">
    <cfRule type="expression" dxfId="327" priority="123">
      <formula>$Z$11&lt;=0</formula>
    </cfRule>
  </conditionalFormatting>
  <conditionalFormatting sqref="Z12">
    <cfRule type="expression" dxfId="326" priority="122">
      <formula>$Z$12&lt;=0</formula>
    </cfRule>
  </conditionalFormatting>
  <conditionalFormatting sqref="Z118">
    <cfRule type="expression" dxfId="325" priority="245">
      <formula>OR($Z$118&lt;&gt;#REF!, #REF!&lt;&gt;#REF!, #REF!&lt;&gt;$Z$118)</formula>
    </cfRule>
  </conditionalFormatting>
  <conditionalFormatting sqref="Z306">
    <cfRule type="expression" dxfId="324" priority="186">
      <formula>OR($Z$306&lt;=1, INT($Z$306)&lt;&gt;$Z$306)</formula>
    </cfRule>
  </conditionalFormatting>
  <conditionalFormatting sqref="Z307">
    <cfRule type="expression" dxfId="323" priority="178">
      <formula>OR($Z$307&lt;0, INT($Z$307)&lt;&gt;$Z$307)</formula>
    </cfRule>
  </conditionalFormatting>
  <conditionalFormatting sqref="Z308">
    <cfRule type="expression" dxfId="322" priority="183">
      <formula>OR($Z$308&lt;1, INT($Z$308)&lt;&gt;$Z$308)</formula>
    </cfRule>
  </conditionalFormatting>
  <conditionalFormatting sqref="Z309">
    <cfRule type="expression" dxfId="321" priority="182">
      <formula>OR($Z$309&lt;0, INT($Z$309)&lt;&gt;$Z$309)</formula>
    </cfRule>
  </conditionalFormatting>
  <conditionalFormatting sqref="AF2 C21">
    <cfRule type="expression" dxfId="320" priority="184">
      <formula>ISERROR(INDIRECT($AF$2&amp;"!$G$45"))</formula>
    </cfRule>
  </conditionalFormatting>
  <conditionalFormatting sqref="AF116:AF118 Z337:Z352">
    <cfRule type="expression" dxfId="319" priority="181">
      <formula>$Z$309&lt;0</formula>
    </cfRule>
  </conditionalFormatting>
  <conditionalFormatting sqref="AF170:AF183">
    <cfRule type="expression" dxfId="318" priority="180">
      <formula>$Z$309&lt;0</formula>
    </cfRule>
  </conditionalFormatting>
  <conditionalFormatting sqref="O15">
    <cfRule type="expression" dxfId="317" priority="56">
      <formula>OR(ISBLANK($O$15), AND($O$15&lt;&gt;0, $O$15&lt;&gt;1))</formula>
    </cfRule>
  </conditionalFormatting>
  <conditionalFormatting sqref="D9">
    <cfRule type="expression" dxfId="316" priority="55">
      <formula>ABS($D$9)&gt;1</formula>
    </cfRule>
  </conditionalFormatting>
  <conditionalFormatting sqref="E9">
    <cfRule type="expression" dxfId="315" priority="54">
      <formula>OR(ABS($E$9)&gt;1, $E$9&gt;=$D$9)</formula>
    </cfRule>
  </conditionalFormatting>
  <conditionalFormatting sqref="D15">
    <cfRule type="expression" dxfId="314" priority="53">
      <formula>ABS($D$15)&gt;0.5</formula>
    </cfRule>
  </conditionalFormatting>
  <conditionalFormatting sqref="E15">
    <cfRule type="expression" dxfId="313" priority="52">
      <formula>OR(ABS($E$15)&gt;0.5, $E$15&gt;=$D$15)</formula>
    </cfRule>
  </conditionalFormatting>
  <conditionalFormatting sqref="D21">
    <cfRule type="expression" dxfId="312" priority="51">
      <formula>ABS($D$21)&gt;0.5</formula>
    </cfRule>
  </conditionalFormatting>
  <conditionalFormatting sqref="E21">
    <cfRule type="expression" dxfId="311" priority="50">
      <formula>OR(ABS($E$21)&gt;0.5, $E$21&gt;=$D$21)</formula>
    </cfRule>
  </conditionalFormatting>
  <conditionalFormatting sqref="D16">
    <cfRule type="expression" dxfId="310" priority="49">
      <formula>ABS($D$16)&gt;0.5</formula>
    </cfRule>
  </conditionalFormatting>
  <conditionalFormatting sqref="E16">
    <cfRule type="expression" dxfId="309" priority="48">
      <formula>OR(ABS($E$16)&gt;0.5, $E$16&gt;=$D$16)</formula>
    </cfRule>
  </conditionalFormatting>
  <conditionalFormatting sqref="J29">
    <cfRule type="expression" dxfId="308" priority="45">
      <formula>ABS($J$29)&gt;0.5</formula>
    </cfRule>
  </conditionalFormatting>
  <conditionalFormatting sqref="K29">
    <cfRule type="expression" dxfId="307" priority="44">
      <formula>OR(ABS($K$29)&gt;0.5, $K$29&gt;=$J$29)</formula>
    </cfRule>
  </conditionalFormatting>
  <conditionalFormatting sqref="J30">
    <cfRule type="expression" dxfId="306" priority="43">
      <formula>ABS($J$30)&gt;0.5</formula>
    </cfRule>
  </conditionalFormatting>
  <conditionalFormatting sqref="K30">
    <cfRule type="expression" dxfId="305" priority="42">
      <formula>OR(ABS($K$30)&gt;0.5, $K$30&gt;=$J$30)</formula>
    </cfRule>
  </conditionalFormatting>
  <conditionalFormatting sqref="J31">
    <cfRule type="expression" dxfId="304" priority="41">
      <formula>ABS($J$31)&gt;0.5</formula>
    </cfRule>
  </conditionalFormatting>
  <conditionalFormatting sqref="K31">
    <cfRule type="expression" dxfId="303" priority="40">
      <formula>OR(ABS($K$31)&gt;0.5, $K$31&gt;=$J$31)</formula>
    </cfRule>
  </conditionalFormatting>
  <conditionalFormatting sqref="J5">
    <cfRule type="expression" dxfId="302" priority="39">
      <formula>ABS($J$5)&gt;0.5</formula>
    </cfRule>
  </conditionalFormatting>
  <conditionalFormatting sqref="K5">
    <cfRule type="expression" dxfId="301" priority="99">
      <formula>OR(ABS($K$5)&gt;0.5, $K$5&gt;=$J$5)</formula>
    </cfRule>
  </conditionalFormatting>
  <conditionalFormatting sqref="J6">
    <cfRule type="expression" dxfId="300" priority="37">
      <formula>ABS($J$6)&gt;0.5</formula>
    </cfRule>
  </conditionalFormatting>
  <conditionalFormatting sqref="K6">
    <cfRule type="expression" dxfId="299" priority="36">
      <formula>OR(ABS($K$6)&gt;0.5, $K$6&gt;=$J$6)</formula>
    </cfRule>
  </conditionalFormatting>
  <conditionalFormatting sqref="J7">
    <cfRule type="expression" dxfId="298" priority="35">
      <formula>ABS($J$7)&gt;0.5</formula>
    </cfRule>
  </conditionalFormatting>
  <conditionalFormatting sqref="K7">
    <cfRule type="expression" dxfId="297" priority="38">
      <formula>OR(ABS($K$7)&gt;0.5, $K$7&gt;=$J$7)</formula>
    </cfRule>
  </conditionalFormatting>
  <conditionalFormatting sqref="J16">
    <cfRule type="expression" dxfId="296" priority="33">
      <formula>ABS($J$16)&gt;0.5</formula>
    </cfRule>
  </conditionalFormatting>
  <conditionalFormatting sqref="K16">
    <cfRule type="expression" dxfId="295" priority="106">
      <formula>OR(ABS($K$16)&gt;0.5, $K$16&gt;=$J$16)</formula>
    </cfRule>
  </conditionalFormatting>
  <conditionalFormatting sqref="J17">
    <cfRule type="expression" dxfId="294" priority="31">
      <formula>ABS($J$17)&gt;0.5</formula>
    </cfRule>
  </conditionalFormatting>
  <conditionalFormatting sqref="K17">
    <cfRule type="expression" dxfId="293" priority="32">
      <formula>OR(ABS($K$17)&gt;0.5, $K$17&gt;=$J$17)</formula>
    </cfRule>
  </conditionalFormatting>
  <conditionalFormatting sqref="J23">
    <cfRule type="expression" dxfId="292" priority="29">
      <formula>ABS($J$23)&gt;0.5</formula>
    </cfRule>
  </conditionalFormatting>
  <conditionalFormatting sqref="K23">
    <cfRule type="expression" dxfId="291" priority="1936">
      <formula>ISBLANK($K$23)</formula>
    </cfRule>
  </conditionalFormatting>
  <conditionalFormatting sqref="J28">
    <cfRule type="expression" dxfId="290" priority="27">
      <formula>ABS($J$28)&gt;0.5</formula>
    </cfRule>
  </conditionalFormatting>
  <conditionalFormatting sqref="K28">
    <cfRule type="expression" dxfId="289" priority="162">
      <formula>OR(ABS($K$28)&gt;0.5, $K$28&gt;=$J$28)</formula>
    </cfRule>
  </conditionalFormatting>
  <conditionalFormatting sqref="W235:Z235 W236:AA236 W237:Z241 W242:AA242 W243:Z244">
    <cfRule type="expression" dxfId="288" priority="1803">
      <formula>OR($I$2&lt;&gt;1, AND($I$2&lt;&gt;0, $I$4&lt;&gt;0))</formula>
    </cfRule>
  </conditionalFormatting>
  <conditionalFormatting sqref="W247:Z247 W248:AA248 W249:Z253 W254:AA254 W255:Z257">
    <cfRule type="expression" dxfId="287" priority="1805">
      <formula>$I$4&lt;&gt;1</formula>
    </cfRule>
  </conditionalFormatting>
  <conditionalFormatting sqref="W17:AA17">
    <cfRule type="expression" dxfId="286" priority="1892">
      <formula>$I$2&lt;&gt;0</formula>
    </cfRule>
  </conditionalFormatting>
  <conditionalFormatting sqref="W188:Z189">
    <cfRule type="expression" dxfId="285" priority="1925">
      <formula>AND($I$11&lt;&gt;0, $I$14&lt;&gt;0)</formula>
    </cfRule>
  </conditionalFormatting>
  <conditionalFormatting sqref="W190:Z191">
    <cfRule type="expression" dxfId="284" priority="1808">
      <formula>OR($I$11&lt;&gt;1, AND($I$11&lt;&gt;0, $I$14&lt;&gt;1))</formula>
    </cfRule>
  </conditionalFormatting>
  <conditionalFormatting sqref="W21:AA21">
    <cfRule type="expression" dxfId="283" priority="1927">
      <formula>$I$11&lt;&gt;0</formula>
    </cfRule>
  </conditionalFormatting>
  <conditionalFormatting sqref="H22:I22 H23:K23">
    <cfRule type="expression" dxfId="282" priority="199">
      <formula>NOT(AND($I$4=0, $I$13=0))</formula>
    </cfRule>
  </conditionalFormatting>
  <conditionalFormatting sqref="I22">
    <cfRule type="expression" dxfId="281" priority="1938">
      <formula>IF(AND($I$2=1, $I$11=1), AND($I$22&lt;&gt;1, $I$22&lt;&gt;2), $I$22&lt;&gt;"")</formula>
    </cfRule>
  </conditionalFormatting>
  <conditionalFormatting sqref="I23">
    <cfRule type="expression" dxfId="280" priority="1939">
      <formula>AND(AND($I$2=1, $I$11=1), OR(ISBLANK($I$23), $I$23&lt;0, $I$23&gt;=$I$6/4))</formula>
    </cfRule>
  </conditionalFormatting>
  <conditionalFormatting sqref="W286:Z287 W288:AA289 W290:Z297">
    <cfRule type="expression" dxfId="279" priority="1941">
      <formula>OR($I$2&lt;&gt;1, $I$11&lt;&gt;1)</formula>
    </cfRule>
  </conditionalFormatting>
  <conditionalFormatting sqref="H15:K15">
    <cfRule type="expression" dxfId="197" priority="1970">
      <formula>AND(AND($I$2&lt;&gt;0, $I$4&lt;&gt;1), $I$22&lt;&gt;2, AND($I$11&lt;&gt;0, $I$13&lt;&gt;1))</formula>
    </cfRule>
  </conditionalFormatting>
  <conditionalFormatting sqref="W18:AA18 W22:AA22">
    <cfRule type="expression" dxfId="278" priority="1981">
      <formula>OR($I$22&lt;&gt;1, AND($I$2=1, $I$11=0))</formula>
    </cfRule>
  </conditionalFormatting>
  <conditionalFormatting sqref="W19:AA19">
    <cfRule type="expression" dxfId="277" priority="1884">
      <formula>OR($I$22&lt;&gt;2, AND($I$2=0, $I$11=1))</formula>
    </cfRule>
  </conditionalFormatting>
  <conditionalFormatting sqref="W23:AA23">
    <cfRule type="expression" dxfId="276" priority="1926">
      <formula>OR($I$11&lt;&gt;1, AND($I$11&lt;&gt;0, $I$2&lt;&gt;0, $I$22&lt;&gt;2))</formula>
    </cfRule>
  </conditionalFormatting>
  <conditionalFormatting sqref="W25:AA25">
    <cfRule type="expression" dxfId="275" priority="1879">
      <formula>NOT(AND($I$27&lt;&gt;0,$I$11&lt;&gt;1))</formula>
    </cfRule>
  </conditionalFormatting>
  <conditionalFormatting sqref="W26:AA26">
    <cfRule type="expression" dxfId="274" priority="2077">
      <formula>OR($I$11&lt;&gt;0, AND($I$11&lt;&gt;1, $I$27&lt;&gt;0))</formula>
    </cfRule>
  </conditionalFormatting>
  <conditionalFormatting sqref="X107:AA107">
    <cfRule type="expression" dxfId="273" priority="1816">
      <formula>AND($I$11&lt;&gt;1, $I$27&lt;&gt;1)</formula>
    </cfRule>
  </conditionalFormatting>
  <conditionalFormatting sqref="Y2:Y3">
    <cfRule type="expression" dxfId="272" priority="2102">
      <formula>$O$2&lt;&gt;1</formula>
    </cfRule>
    <cfRule type="expression" dxfId="271" priority="2103">
      <formula>Y2="Y"</formula>
    </cfRule>
    <cfRule type="expression" dxfId="270" priority="2104">
      <formula>Y2="X"</formula>
    </cfRule>
    <cfRule type="expression" dxfId="269" priority="2105">
      <formula>Y2="Z"</formula>
    </cfRule>
    <cfRule type="expression" dxfId="268" priority="2106">
      <formula>Y2="B"</formula>
    </cfRule>
  </conditionalFormatting>
  <conditionalFormatting sqref="O8">
    <cfRule type="expression" dxfId="267" priority="2139">
      <formula>OR(ISBLANK($O$8), $O$8-QUOTIENT($O$8,1)&lt;&gt;0, O8&lt;0, $O$8&gt;$U$13)</formula>
    </cfRule>
  </conditionalFormatting>
  <conditionalFormatting sqref="Z10">
    <cfRule type="expression" dxfId="266" priority="2161">
      <formula>$Z$10&lt;=$U$3</formula>
    </cfRule>
  </conditionalFormatting>
  <conditionalFormatting sqref="W31:Z31">
    <cfRule type="expression" dxfId="265" priority="2164">
      <formula>$Z$30&lt;&gt;$U$33</formula>
    </cfRule>
  </conditionalFormatting>
  <conditionalFormatting sqref="W32:Z33 W36:Z37 W39:Z39">
    <cfRule type="expression" dxfId="264" priority="1984">
      <formula>$Z$30&lt;&gt;$U$38</formula>
    </cfRule>
  </conditionalFormatting>
  <conditionalFormatting sqref="W42:Z43 W44:AA44">
    <cfRule type="expression" dxfId="263" priority="2076">
      <formula>$Z$42&lt;&gt;$U$34</formula>
    </cfRule>
  </conditionalFormatting>
  <conditionalFormatting sqref="W64:Z64 W72:Z73">
    <cfRule type="expression" dxfId="262" priority="2170">
      <formula>$Z$63&lt;&gt;$U$33</formula>
    </cfRule>
  </conditionalFormatting>
  <conditionalFormatting sqref="W65:Z66 W69:Z70 W74:Z74">
    <cfRule type="expression" dxfId="261" priority="2078">
      <formula>$Z$63&lt;&gt;$U$38</formula>
    </cfRule>
  </conditionalFormatting>
  <conditionalFormatting sqref="W79:Z80 W81:AA81">
    <cfRule type="expression" dxfId="260" priority="2175">
      <formula>$Z$79&lt;&gt;$U$34</formula>
    </cfRule>
  </conditionalFormatting>
  <conditionalFormatting sqref="W84:Z85 W86:AA86 W87:Z89">
    <cfRule type="expression" dxfId="259" priority="2177">
      <formula>$Z$84&lt;&gt;$U$36</formula>
    </cfRule>
  </conditionalFormatting>
  <conditionalFormatting sqref="W92:Z93 W94:AA94 W95:Z95">
    <cfRule type="expression" dxfId="258" priority="2180">
      <formula>$Z$92&lt;&gt;$U$37</formula>
    </cfRule>
  </conditionalFormatting>
  <conditionalFormatting sqref="W228:Z228 W230:Z230 W231:AA231 W232:Z232">
    <cfRule type="expression" dxfId="257" priority="2183">
      <formula>$Z$230&lt;&gt;$U$42</formula>
    </cfRule>
  </conditionalFormatting>
  <conditionalFormatting sqref="Z30">
    <cfRule type="expression" dxfId="256" priority="2187">
      <formula>AND($Z$30&lt;&gt;$U$33, $Z$30&lt;&gt;$U$38)</formula>
    </cfRule>
  </conditionalFormatting>
  <conditionalFormatting sqref="Z47">
    <cfRule type="expression" dxfId="255" priority="2188">
      <formula>$Z$47&lt;&gt;$U$36</formula>
    </cfRule>
  </conditionalFormatting>
  <conditionalFormatting sqref="Z55">
    <cfRule type="expression" dxfId="254" priority="2189">
      <formula>$Z$55&lt;&gt;$U$37</formula>
    </cfRule>
  </conditionalFormatting>
  <conditionalFormatting sqref="Z100">
    <cfRule type="expression" dxfId="253" priority="2190">
      <formula>$Z$100&lt;&gt;$U$35</formula>
    </cfRule>
  </conditionalFormatting>
  <conditionalFormatting sqref="Z145 Z158 Z170">
    <cfRule type="expression" dxfId="252" priority="2191">
      <formula>$Z$145&lt;&gt;$U$43</formula>
    </cfRule>
  </conditionalFormatting>
  <conditionalFormatting sqref="Z180">
    <cfRule type="expression" dxfId="251" priority="2194">
      <formula>$Z$180&lt;&gt;$U$45</formula>
    </cfRule>
  </conditionalFormatting>
  <conditionalFormatting sqref="Z201">
    <cfRule type="expression" dxfId="250" priority="2195">
      <formula>$Z$201&lt;&gt;$U$46</formula>
    </cfRule>
  </conditionalFormatting>
  <conditionalFormatting sqref="Z215">
    <cfRule type="expression" dxfId="249" priority="2196">
      <formula>$Z$215&lt;&gt;$U$48</formula>
    </cfRule>
  </conditionalFormatting>
  <conditionalFormatting sqref="Z249">
    <cfRule type="expression" dxfId="248" priority="2197">
      <formula>$Z$249&lt;&gt;$U$44</formula>
    </cfRule>
  </conditionalFormatting>
  <conditionalFormatting sqref="Z262">
    <cfRule type="expression" dxfId="247" priority="2198">
      <formula>$Z$262&lt;&gt;$U$46</formula>
    </cfRule>
  </conditionalFormatting>
  <conditionalFormatting sqref="Z287 Z276">
    <cfRule type="expression" dxfId="246" priority="2199">
      <formula>$Z$276&lt;&gt;$U$48</formula>
    </cfRule>
  </conditionalFormatting>
  <conditionalFormatting sqref="Z137:AA137 Z138 Z139:AA139 AA140 Z141:AA141 Z179 Z200 Z214 Z229 Z236 Z261 Z275">
    <cfRule type="expression" dxfId="245" priority="2202">
      <formula>$Z$139&lt;&gt;$U$42</formula>
    </cfRule>
  </conditionalFormatting>
  <conditionalFormatting sqref="Z237">
    <cfRule type="expression" dxfId="244" priority="2218">
      <formula>$I$2&lt;&gt;1</formula>
    </cfRule>
    <cfRule type="expression" dxfId="243" priority="2219">
      <formula>$Z$237&lt;&gt;$U$43</formula>
    </cfRule>
  </conditionalFormatting>
  <conditionalFormatting sqref="W110:Z111 W112:AA112 W113:Z114">
    <cfRule type="expression" dxfId="242" priority="1983">
      <formula>OR($Z$110&lt;&gt;$U$34, $I$11&lt;&gt;0)</formula>
    </cfRule>
  </conditionalFormatting>
  <conditionalFormatting sqref="Z333">
    <cfRule type="expression" dxfId="241" priority="2221">
      <formula>$Z$333&lt;=#REF!/2+#REF!</formula>
    </cfRule>
  </conditionalFormatting>
  <conditionalFormatting sqref="I6:I7">
    <cfRule type="expression" dxfId="240" priority="2222">
      <formula>IF($I$2=1, OR($I$6&lt;=$C$15/2, $I$6&gt;=$C$15), $I$6&lt;&gt;"")</formula>
    </cfRule>
  </conditionalFormatting>
  <conditionalFormatting sqref="I7">
    <cfRule type="expression" dxfId="239" priority="2223">
      <formula>IF($I$2=1, $I$7&gt;=$C$16, $I$7&lt;&gt;"")</formula>
    </cfRule>
  </conditionalFormatting>
  <conditionalFormatting sqref="I18">
    <cfRule type="expression" dxfId="238" priority="2224">
      <formula>IF($I$11=1,OR($I$18&lt;=0, $I$18&gt;=$C$10/4),$I$18&lt;&gt;"")</formula>
    </cfRule>
  </conditionalFormatting>
  <conditionalFormatting sqref="I30">
    <cfRule type="expression" dxfId="237" priority="2225">
      <formula>OR($I$30&lt;=0, $I$30&gt;$C$10/4)</formula>
    </cfRule>
  </conditionalFormatting>
  <conditionalFormatting sqref="I31">
    <cfRule type="expression" dxfId="236" priority="2226">
      <formula>OR($I$31&lt;=0, $I$31+$I$30&gt;$C10/4)</formula>
    </cfRule>
  </conditionalFormatting>
  <conditionalFormatting sqref="I41">
    <cfRule type="expression" dxfId="235" priority="2227">
      <formula>OR(ISBLANK($I$41), AND($I$41&lt;&gt;1, $I$41&lt;&gt;2), AND($C$75&lt;&gt;0, $I$41=1))</formula>
    </cfRule>
  </conditionalFormatting>
  <conditionalFormatting sqref="I46">
    <cfRule type="expression" dxfId="234" priority="2228">
      <formula>OR(ISBLANK($I$46), AND($I$46&lt;&gt;1, $I$46&lt;&gt;2), AND($C$82&lt;&gt;0, $I$46=1))</formula>
    </cfRule>
  </conditionalFormatting>
  <conditionalFormatting sqref="I51">
    <cfRule type="expression" dxfId="233" priority="2229">
      <formula>OR(ISBLANK($I$51), AND($I$51&lt;&gt;1, $I$51&lt;&gt;2), AND($C$89&lt;&gt;0, $I$51=1))</formula>
    </cfRule>
  </conditionalFormatting>
  <conditionalFormatting sqref="I52">
    <cfRule type="expression" dxfId="232" priority="2230">
      <formula>OR($I$52&lt;=0, $I$52&gt;=$C$10/4)</formula>
    </cfRule>
  </conditionalFormatting>
  <conditionalFormatting sqref="I56">
    <cfRule type="expression" dxfId="231" priority="2231">
      <formula>OR(ISBLANK($I$56), AND($I$56&lt;&gt;1, $I$56&lt;&gt;2), AND($C$96&lt;&gt;0, $I$56&lt;&gt;0))</formula>
    </cfRule>
  </conditionalFormatting>
  <conditionalFormatting sqref="I57">
    <cfRule type="expression" dxfId="230" priority="2232">
      <formula>OR($I$57&lt;=0, $I$57&gt;=$C10/4)</formula>
    </cfRule>
  </conditionalFormatting>
  <conditionalFormatting sqref="O16">
    <cfRule type="expression" dxfId="229" priority="2233">
      <formula>$O$16&gt;=$C$15/2-$C$17</formula>
    </cfRule>
  </conditionalFormatting>
  <conditionalFormatting sqref="O17">
    <cfRule type="expression" dxfId="228" priority="2234">
      <formula>$O$16+$O$17&gt;=$C$15/2</formula>
    </cfRule>
  </conditionalFormatting>
  <conditionalFormatting sqref="I28">
    <cfRule type="expression" dxfId="227" priority="2239">
      <formula>IF($I$26&lt;&gt;4,OR($I$28&gt;=$C$15, AND($I$11=1, $I$28&gt;=$I$16),$I$28&lt;=$C$15/2),$I$28&lt;&gt;"")</formula>
    </cfRule>
  </conditionalFormatting>
  <conditionalFormatting sqref="I16:I17">
    <cfRule type="expression" dxfId="226" priority="2240">
      <formula>OR($I$16&lt;=$C$15/2, $I$16&gt;=$C$15, $I$16&lt;=$I$28)</formula>
    </cfRule>
  </conditionalFormatting>
  <conditionalFormatting sqref="I17">
    <cfRule type="expression" dxfId="225" priority="2241">
      <formula>IF($I$11=1,OR($I$17&lt;=$I$29, $I$17&gt;=$C$16),$I$17&lt;&gt;"")</formula>
    </cfRule>
  </conditionalFormatting>
  <conditionalFormatting sqref="W30:Z30">
    <cfRule type="expression" dxfId="224" priority="2242">
      <formula>OR(AND($I$2&lt;&gt;1, $I$41&lt;&gt;1, $C$75&lt;&gt;1), $I$22=2)</formula>
    </cfRule>
  </conditionalFormatting>
  <conditionalFormatting sqref="I42">
    <cfRule type="expression" dxfId="223" priority="2243">
      <formula>OR($I$42&lt;=0, $I$42&gt;=$Z$4/4)</formula>
    </cfRule>
  </conditionalFormatting>
  <conditionalFormatting sqref="I47">
    <cfRule type="expression" dxfId="222" priority="2244">
      <formula>OR($I$47&lt;=0, $I$47&gt;=$Z$5/4)</formula>
    </cfRule>
  </conditionalFormatting>
  <conditionalFormatting sqref="I5">
    <cfRule type="expression" dxfId="221" priority="2281">
      <formula>IF($I$2=1,OR($I$5&lt;=0, $I$5&gt;=($C$15-$AF$116)/2), $I$5&lt;&gt;"")</formula>
    </cfRule>
  </conditionalFormatting>
  <conditionalFormatting sqref="I15">
    <cfRule type="expression" dxfId="220" priority="2282">
      <formula>IF($I$11=1,OR($I$15&lt;=0, $I$15&gt;=($C$15-$AF$113)/2),$I$15&lt;&gt;"")</formula>
    </cfRule>
  </conditionalFormatting>
  <conditionalFormatting sqref="I32">
    <cfRule type="expression" dxfId="219" priority="2283">
      <formula>IF($I$27=1,OR(ISBLANK($I$32), $I$32&lt;=0, $I$32&gt;=($C$15-$AF$176)/2),$I$32&lt;&gt;"")</formula>
    </cfRule>
  </conditionalFormatting>
  <conditionalFormatting sqref="O18">
    <cfRule type="expression" dxfId="218" priority="2284">
      <formula>$O$18&gt;=($C$16-$AF$114)/2</formula>
    </cfRule>
  </conditionalFormatting>
  <conditionalFormatting sqref="C2">
    <cfRule type="expression" dxfId="217" priority="24">
      <formula>OR(ISBLANK($C$2), $C$2&lt;=0, $C$2&gt;=10000)</formula>
    </cfRule>
  </conditionalFormatting>
  <conditionalFormatting sqref="C6">
    <cfRule type="expression" dxfId="216" priority="23">
      <formula>OR(ISBLANK($C$6), AND($C$6&lt;&gt;0, $C$6&lt;&gt;1))</formula>
    </cfRule>
  </conditionalFormatting>
  <conditionalFormatting sqref="C7">
    <cfRule type="expression" dxfId="215" priority="22">
      <formula>OR(ISBLANK($C$7), AND($C$7&lt;&gt;0, $C$7&lt;&gt;1))</formula>
    </cfRule>
  </conditionalFormatting>
  <conditionalFormatting sqref="C9">
    <cfRule type="expression" dxfId="214" priority="21">
      <formula>OR(ISBLANK($C$9), $C$9&lt;=($U$3*2))</formula>
    </cfRule>
  </conditionalFormatting>
  <conditionalFormatting sqref="C11">
    <cfRule type="expression" dxfId="213" priority="20">
      <formula>OR(ISBLANK($C$11), AND($C$11&lt;&gt;0, $C$11&lt;&gt;1))</formula>
    </cfRule>
  </conditionalFormatting>
  <conditionalFormatting sqref="C20">
    <cfRule type="expression" dxfId="212" priority="18">
      <formula>OR(ISBLANK($C$20), $C$20&lt;0, $C$20&gt;2)</formula>
    </cfRule>
  </conditionalFormatting>
  <conditionalFormatting sqref="I33">
    <cfRule type="expression" dxfId="211" priority="60">
      <formula>OR(ISBLANK($I$33), $I$33&lt;=0)</formula>
    </cfRule>
  </conditionalFormatting>
  <conditionalFormatting sqref="I34">
    <cfRule type="expression" dxfId="210" priority="16">
      <formula>OR(ISBLANK($I$34), $I$34&lt;=0)</formula>
    </cfRule>
  </conditionalFormatting>
  <conditionalFormatting sqref="I35">
    <cfRule type="expression" dxfId="209" priority="26">
      <formula>OR(ISBLANK($I$35), $I$35&lt;=0)</formula>
    </cfRule>
  </conditionalFormatting>
  <conditionalFormatting sqref="I36">
    <cfRule type="expression" dxfId="208" priority="14">
      <formula>OR(ISBLANK($I$36), $I$36&lt;=0)</formula>
    </cfRule>
  </conditionalFormatting>
  <conditionalFormatting sqref="I29">
    <cfRule type="expression" dxfId="207" priority="13">
      <formula>OR(ISBLANK($I$29), $I$29&gt;=$C$16, AND($I$11=1, $I$29&gt;=$I$17), AND($I$26&lt;&gt;4, $I$28&lt;=$C$15/2))</formula>
    </cfRule>
  </conditionalFormatting>
  <conditionalFormatting sqref="N11:O11">
    <cfRule type="expression" dxfId="206" priority="88">
      <formula>$O$10&lt;&gt;1</formula>
    </cfRule>
  </conditionalFormatting>
  <conditionalFormatting sqref="O10">
    <cfRule type="expression" dxfId="205" priority="10">
      <formula>OR(ISBLANK($O$10), AND($O$10&lt;&gt;1, $O$10&lt;&gt;2))</formula>
    </cfRule>
  </conditionalFormatting>
  <conditionalFormatting sqref="O3">
    <cfRule type="expression" dxfId="204" priority="7">
      <formula>OR(ISBLANK($O$3), $O$3&lt;=0)</formula>
    </cfRule>
  </conditionalFormatting>
  <conditionalFormatting sqref="O4">
    <cfRule type="expression" dxfId="203" priority="6">
      <formula>OR(ISBLANK($O$4), $O$4&lt;=0)</formula>
    </cfRule>
  </conditionalFormatting>
  <conditionalFormatting sqref="O5">
    <cfRule type="expression" dxfId="202" priority="8">
      <formula>OR(ISBLANK($O$5), $O$5&lt;=0)</formula>
    </cfRule>
  </conditionalFormatting>
  <conditionalFormatting sqref="O7">
    <cfRule type="expression" dxfId="201" priority="5">
      <formula>OR(ISBLANK($O$7), $O$7&lt;=0, MOD($O$7,$O$5)&lt;&gt;0)</formula>
    </cfRule>
  </conditionalFormatting>
  <conditionalFormatting sqref="O9">
    <cfRule type="expression" dxfId="200" priority="4">
      <formula>OR(ISBLANK($O$9), $O$9&lt;=0, $O$9&gt;1)</formula>
    </cfRule>
  </conditionalFormatting>
  <conditionalFormatting sqref="N12:O12">
    <cfRule type="expression" dxfId="199" priority="2">
      <formula>$O$10&lt;&gt;2</formula>
    </cfRule>
  </conditionalFormatting>
  <conditionalFormatting sqref="O12">
    <cfRule type="expression" dxfId="198" priority="3">
      <formula>OR(ISBLANK($O$12), $O$12&lt;=0)</formula>
    </cfRule>
  </conditionalFormatting>
  <dataValidations count="26">
    <dataValidation imeMode="disabled" allowBlank="1" showInputMessage="1" showErrorMessage="1" sqref="AF170:AF183 Z7:AA7 Y7:Y14 AF2:AG2 Z9:AA14 C88 I10 C81 C74 C95 I40 C18:C19 I57 I42 I47 I52 C97:C98 AF116:AF118 C5 AF3 Y2:Y5 Z4:AA5 C13:C14 Y15:AA1048576 C21:C23 C9:C10 I15:I21 J2:K23 J26:K38 C46:E46 I28:I38 C60:E60 J40:K43 D10:E23 J45:K48 D74:E76 I45 C76 J50:K53 D81:E83 I50 C83 J55:K58 D88:E90 I55 C90 P15:Q20 D95:E98 P22:Q26 C105:E105 O26 V2:V13 U2:U12 C111:E111 V15:V30 U15 C124:E124 V32:V53 C141:E141 C164:E1048576 U32 D2:E8 P2:Q11" xr:uid="{635549F6-268E-43F2-AE63-BB478DCAB838}"/>
    <dataValidation type="whole" imeMode="disabled" allowBlank="1" showInputMessage="1" showErrorMessage="1" sqref="I48 I43 I58 I53" xr:uid="{CDD2FFF9-8634-4F4E-923F-6070EC3F8531}">
      <formula1>15</formula1>
      <formula2>45</formula2>
    </dataValidation>
    <dataValidation type="decimal" imeMode="disabled" operator="greaterThanOrEqual" allowBlank="1" showInputMessage="1" showErrorMessage="1" sqref="C20" xr:uid="{1E56B6D6-73BD-4C05-B881-2B3B55F042D7}">
      <formula1>0</formula1>
    </dataValidation>
    <dataValidation type="whole" imeMode="disabled" allowBlank="1" showInputMessage="1" showErrorMessage="1" sqref="C75 C11 C82 C6:C7 C89 I11:I14 C96 O15 I2:I4 O22 O2 I27" xr:uid="{367276B8-8324-422A-8730-F86FA2256ECC}">
      <formula1>0</formula1>
      <formula2>1</formula2>
    </dataValidation>
    <dataValidation type="decimal" imeMode="disabled" operator="greaterThan" allowBlank="1" showInputMessage="1" showErrorMessage="1" sqref="O3:O7 C15:C17 O16:O20 O23:O25 I5:I9 O11" xr:uid="{A19F090C-92D9-404D-8DD9-E6C35385216D}">
      <formula1>0</formula1>
    </dataValidation>
    <dataValidation type="whole" imeMode="disabled" allowBlank="1" showInputMessage="1" showErrorMessage="1" sqref="I22 I41 I46 I51 I56 O10" xr:uid="{AC60FE7D-CC85-414E-BD22-C7B7138C36ED}">
      <formula1>1</formula1>
      <formula2>2</formula2>
    </dataValidation>
    <dataValidation type="whole" imeMode="disabled" operator="greaterThanOrEqual" allowBlank="1" showInputMessage="1" showErrorMessage="1" sqref="U13" xr:uid="{8C134B45-4E00-45C7-AD68-84B8956B5D75}">
      <formula1>8</formula1>
    </dataValidation>
    <dataValidation type="whole" imeMode="disabled" allowBlank="1" showInputMessage="1" showErrorMessage="1" sqref="I26" xr:uid="{FF913C26-88BF-41A2-B855-7D17B3F38D5E}">
      <formula1>1</formula1>
      <formula2>5</formula2>
    </dataValidation>
    <dataValidation type="whole" imeMode="disabled" allowBlank="1" showInputMessage="1" showErrorMessage="1" sqref="U30" xr:uid="{0990AC0C-4757-417E-881B-8A51FB5F9B33}">
      <formula1>49</formula1>
      <formula2>50</formula2>
    </dataValidation>
    <dataValidation type="whole" imeMode="disabled" allowBlank="1" showInputMessage="1" showErrorMessage="1" sqref="U29" xr:uid="{481CDE56-7979-4176-9518-000E5FAB1174}">
      <formula1>41</formula1>
      <formula2>45</formula2>
    </dataValidation>
    <dataValidation type="whole" imeMode="disabled" allowBlank="1" showInputMessage="1" showErrorMessage="1" sqref="U28" xr:uid="{DE888194-A4A5-4E6E-A7BF-38BBD9359605}">
      <formula1>34</formula1>
      <formula2>34</formula2>
    </dataValidation>
    <dataValidation type="whole" imeMode="disabled" allowBlank="1" showInputMessage="1" showErrorMessage="1" sqref="U25:U27" xr:uid="{CD5F9925-C541-4B84-9754-04CB883A5010}">
      <formula1>31</formula1>
      <formula2>35</formula2>
    </dataValidation>
    <dataValidation type="whole" imeMode="disabled" allowBlank="1" showInputMessage="1" showErrorMessage="1" sqref="U23:U24" xr:uid="{42ACA5FA-039A-4D94-99BF-D42DE54F822C}">
      <formula1>16</formula1>
      <formula2>20</formula2>
    </dataValidation>
    <dataValidation type="whole" imeMode="disabled" allowBlank="1" showInputMessage="1" showErrorMessage="1" sqref="U20:U22" xr:uid="{6A675574-FDDD-4AA6-834D-95F931DF1739}">
      <formula1>11</formula1>
      <formula2>15</formula2>
    </dataValidation>
    <dataValidation type="whole" imeMode="disabled" allowBlank="1" showInputMessage="1" showErrorMessage="1" sqref="U18:U19" xr:uid="{6204E7BF-B0CD-4D0D-AD7B-333AC62DDC69}">
      <formula1>6</formula1>
      <formula2>10</formula2>
    </dataValidation>
    <dataValidation type="whole" imeMode="disabled" allowBlank="1" showInputMessage="1" showErrorMessage="1" sqref="U17" xr:uid="{6A464913-D6D3-4E3E-82A5-4F60CB63E6BD}">
      <formula1>2</formula1>
      <formula2>5</formula2>
    </dataValidation>
    <dataValidation type="whole" imeMode="disabled" allowBlank="1" showInputMessage="1" showErrorMessage="1" sqref="C2" xr:uid="{7CD95DE3-475C-40FA-BBFF-7E7FABEF573B}">
      <formula1>0</formula1>
      <formula2>9999</formula2>
    </dataValidation>
    <dataValidation type="decimal" imeMode="disabled" operator="greaterThan" allowBlank="1" showInputMessage="1" showErrorMessage="1" sqref="C12" xr:uid="{72D71579-D1A8-4581-92E6-38DF5E913D97}">
      <formula1>375</formula1>
    </dataValidation>
    <dataValidation type="whole" imeMode="disabled" allowBlank="1" showInputMessage="1" showErrorMessage="1" sqref="U33:U53" xr:uid="{6EDCDE29-68E7-452F-9A24-F9C342BFB834}">
      <formula1>0</formula1>
      <formula2>99999999</formula2>
    </dataValidation>
    <dataValidation type="whole" imeMode="disabled" allowBlank="1" showInputMessage="1" showErrorMessage="1" sqref="U16" xr:uid="{5F890FBE-EDF5-439D-8716-46A0F4913A40}">
      <formula1>1</formula1>
      <formula2>1</formula2>
    </dataValidation>
    <dataValidation type="decimal" imeMode="disabled" allowBlank="1" showInputMessage="1" showErrorMessage="1" sqref="I23" xr:uid="{415435AE-F63D-4EDE-AEBE-A6579D4A9CF0}">
      <formula1>0</formula1>
      <formula2>$I$6/4</formula2>
    </dataValidation>
    <dataValidation type="decimal" imeMode="disabled" allowBlank="1" showInputMessage="1" showErrorMessage="1" sqref="D9:E9" xr:uid="{950B3271-D78B-44E7-B0F9-0B91A9450AD9}">
      <formula1>-2</formula1>
      <formula2>2</formula2>
    </dataValidation>
    <dataValidation type="whole" imeMode="disabled" allowBlank="1" showInputMessage="1" showErrorMessage="1" sqref="O8" xr:uid="{D6E4E4B2-6B22-408D-826F-50F984C326AB}">
      <formula1>1</formula1>
      <formula2>$U$13</formula2>
    </dataValidation>
    <dataValidation type="decimal" imeMode="disabled" allowBlank="1" showInputMessage="1" showErrorMessage="1" sqref="O9" xr:uid="{461E75DC-CCF0-43A2-ABB0-AB53916D5AB7}">
      <formula1>0</formula1>
      <formula2>1</formula2>
    </dataValidation>
    <dataValidation type="decimal" imeMode="disabled" operator="greaterThan" allowBlank="1" showInputMessage="1" showErrorMessage="1" sqref="C8" xr:uid="{1B3773AF-C1C3-43EC-AB5A-309851BB6FE2}">
      <formula1>1000</formula1>
    </dataValidation>
    <dataValidation type="decimal" imeMode="disabled" allowBlank="1" showInputMessage="1" showErrorMessage="1" sqref="O12" xr:uid="{C2734ACB-5296-48A3-A895-A169A8E71A13}">
      <formula1>0</formula1>
      <formula2>20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Infomation">
                <anchor moveWithCells="1" sizeWithCells="1">
                  <from>
                    <xdr:col>3</xdr:col>
                    <xdr:colOff>400050</xdr:colOff>
                    <xdr:row>1</xdr:row>
                    <xdr:rowOff>95250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0B8AB-2E31-4E17-B624-B53001ABDB72}">
  <dimension ref="A1:H42"/>
  <sheetViews>
    <sheetView workbookViewId="0"/>
  </sheetViews>
  <sheetFormatPr defaultRowHeight="15" x14ac:dyDescent="0.4"/>
  <cols>
    <col min="1" max="1" width="5" style="95" bestFit="1" customWidth="1"/>
    <col min="2" max="3" width="7.75" style="96" bestFit="1" customWidth="1"/>
    <col min="4" max="4" width="6" style="95" bestFit="1" customWidth="1"/>
    <col min="5" max="5" width="6.875" style="97" bestFit="1" customWidth="1"/>
    <col min="6" max="6" width="7" style="97" bestFit="1" customWidth="1"/>
    <col min="7" max="7" width="7.625" style="97" bestFit="1" customWidth="1"/>
    <col min="8" max="8" width="8.625" style="96" customWidth="1"/>
    <col min="9" max="16384" width="9" style="95"/>
  </cols>
  <sheetData>
    <row r="1" spans="1:7" x14ac:dyDescent="0.4">
      <c r="A1" s="95" t="s">
        <v>640</v>
      </c>
      <c r="B1" s="96" t="s">
        <v>641</v>
      </c>
      <c r="C1" s="96" t="s">
        <v>642</v>
      </c>
      <c r="D1" s="95" t="s">
        <v>643</v>
      </c>
      <c r="E1" s="97" t="s">
        <v>644</v>
      </c>
      <c r="F1" s="97" t="s">
        <v>645</v>
      </c>
      <c r="G1" s="97" t="s">
        <v>646</v>
      </c>
    </row>
    <row r="2" spans="1:7" x14ac:dyDescent="0.4">
      <c r="A2" s="95">
        <v>0</v>
      </c>
      <c r="B2" s="96">
        <v>135.4999396420242</v>
      </c>
      <c r="C2" s="96">
        <v>133.97746841009109</v>
      </c>
      <c r="D2" s="96">
        <v>6</v>
      </c>
      <c r="E2" s="97" t="s">
        <v>74</v>
      </c>
      <c r="F2" s="97" t="s">
        <v>74</v>
      </c>
      <c r="G2" s="97" t="s">
        <v>74</v>
      </c>
    </row>
    <row r="3" spans="1:7" x14ac:dyDescent="0.4">
      <c r="A3" s="95">
        <v>25</v>
      </c>
      <c r="B3" s="96">
        <v>135.37899248447255</v>
      </c>
      <c r="C3" s="96">
        <v>133.85788020936585</v>
      </c>
      <c r="D3" s="96">
        <v>6</v>
      </c>
      <c r="E3" s="97">
        <f t="shared" ref="E3:F18" si="0">IF($A3="","",(B2-B3)*1000/(B2*($A3-$A2))*100)</f>
        <v>3.5703973853031519</v>
      </c>
      <c r="F3" s="97">
        <f t="shared" si="0"/>
        <v>3.5703973853036066</v>
      </c>
      <c r="G3" s="97">
        <f>AVERAGE(E3,F3)</f>
        <v>3.5703973853033792</v>
      </c>
    </row>
    <row r="4" spans="1:7" x14ac:dyDescent="0.4">
      <c r="A4" s="95">
        <v>50</v>
      </c>
      <c r="B4" s="96">
        <v>135.25815328427467</v>
      </c>
      <c r="C4" s="96">
        <v>133.73839875299041</v>
      </c>
      <c r="D4" s="96">
        <v>6</v>
      </c>
      <c r="E4" s="97">
        <f t="shared" si="0"/>
        <v>3.5703973853029751</v>
      </c>
      <c r="F4" s="97">
        <f t="shared" si="0"/>
        <v>3.5703973853032589</v>
      </c>
      <c r="G4" s="97">
        <f t="shared" ref="G4:G42" si="1">AVERAGE(E4,F4)</f>
        <v>3.5703973853031172</v>
      </c>
    </row>
    <row r="5" spans="1:7" x14ac:dyDescent="0.4">
      <c r="A5" s="95">
        <v>75</v>
      </c>
      <c r="B5" s="96">
        <v>135.1374219450679</v>
      </c>
      <c r="C5" s="96">
        <v>133.61902394568483</v>
      </c>
      <c r="D5" s="96">
        <v>6</v>
      </c>
      <c r="E5" s="97">
        <f t="shared" si="0"/>
        <v>3.5703973853029618</v>
      </c>
      <c r="F5" s="97">
        <f t="shared" si="0"/>
        <v>3.5703973853031221</v>
      </c>
      <c r="G5" s="97">
        <f t="shared" si="1"/>
        <v>3.5703973853030417</v>
      </c>
    </row>
    <row r="6" spans="1:7" x14ac:dyDescent="0.4">
      <c r="A6" s="95">
        <v>100</v>
      </c>
      <c r="B6" s="96">
        <v>135.01679837057557</v>
      </c>
      <c r="C6" s="96">
        <v>133.49975569225421</v>
      </c>
      <c r="D6" s="96">
        <v>6</v>
      </c>
      <c r="E6" s="97">
        <f t="shared" si="0"/>
        <v>3.5703973853033837</v>
      </c>
      <c r="F6" s="97">
        <f t="shared" si="0"/>
        <v>3.5703973853034676</v>
      </c>
      <c r="G6" s="97">
        <f t="shared" si="1"/>
        <v>3.5703973853034254</v>
      </c>
    </row>
    <row r="7" spans="1:7" x14ac:dyDescent="0.4">
      <c r="A7" s="95">
        <v>125</v>
      </c>
      <c r="B7" s="96">
        <v>134.896282464607</v>
      </c>
      <c r="C7" s="96">
        <v>133.38059389758865</v>
      </c>
      <c r="D7" s="96">
        <v>6</v>
      </c>
      <c r="E7" s="97">
        <f t="shared" si="0"/>
        <v>3.5703973853030813</v>
      </c>
      <c r="F7" s="97">
        <f t="shared" si="0"/>
        <v>3.5703973853031465</v>
      </c>
      <c r="G7" s="97">
        <f t="shared" si="1"/>
        <v>3.5703973853031137</v>
      </c>
    </row>
    <row r="8" spans="1:7" x14ac:dyDescent="0.4">
      <c r="A8" s="95">
        <v>150</v>
      </c>
      <c r="B8" s="96">
        <v>134.77587413105732</v>
      </c>
      <c r="C8" s="96">
        <v>133.2615384666631</v>
      </c>
      <c r="D8" s="96">
        <v>6</v>
      </c>
      <c r="E8" s="97">
        <f t="shared" si="0"/>
        <v>3.5703973853028295</v>
      </c>
      <c r="F8" s="97">
        <f t="shared" si="0"/>
        <v>3.5703973853038424</v>
      </c>
      <c r="G8" s="97">
        <f t="shared" si="1"/>
        <v>3.5703973853033357</v>
      </c>
    </row>
    <row r="9" spans="1:7" x14ac:dyDescent="0.4">
      <c r="A9" s="95">
        <v>175</v>
      </c>
      <c r="B9" s="96">
        <v>134.66740343200976</v>
      </c>
      <c r="C9" s="96">
        <v>133.15428653951497</v>
      </c>
      <c r="D9" s="96">
        <v>6</v>
      </c>
      <c r="E9" s="97">
        <f t="shared" si="0"/>
        <v>3.2192912788554491</v>
      </c>
      <c r="F9" s="97">
        <f t="shared" si="0"/>
        <v>3.2192912788548433</v>
      </c>
      <c r="G9" s="97">
        <f t="shared" si="1"/>
        <v>3.2192912788551462</v>
      </c>
    </row>
    <row r="10" spans="1:7" x14ac:dyDescent="0.4">
      <c r="A10" s="95">
        <v>200</v>
      </c>
      <c r="B10" s="96">
        <v>134.57163576023848</v>
      </c>
      <c r="C10" s="96">
        <v>133.05959490899954</v>
      </c>
      <c r="D10" s="96">
        <v>6</v>
      </c>
      <c r="E10" s="97">
        <f t="shared" si="0"/>
        <v>2.8445687473178332</v>
      </c>
      <c r="F10" s="97">
        <f t="shared" si="0"/>
        <v>2.8445687473178487</v>
      </c>
      <c r="G10" s="97">
        <f t="shared" si="1"/>
        <v>2.8445687473178412</v>
      </c>
    </row>
    <row r="11" spans="1:7" x14ac:dyDescent="0.4">
      <c r="A11" s="95">
        <v>225</v>
      </c>
      <c r="B11" s="99">
        <v>134.48386584547507</v>
      </c>
      <c r="C11" s="96">
        <v>132.97281117305369</v>
      </c>
      <c r="D11" s="96">
        <v>6</v>
      </c>
      <c r="E11" s="97">
        <f t="shared" si="0"/>
        <v>2.6088681843710297</v>
      </c>
      <c r="F11" s="97">
        <f t="shared" si="0"/>
        <v>2.6088681843713624</v>
      </c>
      <c r="G11" s="97">
        <f t="shared" si="1"/>
        <v>2.6088681843711958</v>
      </c>
    </row>
    <row r="12" spans="1:7" x14ac:dyDescent="0.4">
      <c r="A12" s="95">
        <v>250</v>
      </c>
      <c r="B12" s="96">
        <v>134.4051485580749</v>
      </c>
      <c r="C12" s="96">
        <v>132.89497834955688</v>
      </c>
      <c r="D12" s="96">
        <v>6</v>
      </c>
      <c r="E12" s="97">
        <f t="shared" si="0"/>
        <v>2.3413154256173696</v>
      </c>
      <c r="F12" s="97">
        <f t="shared" si="0"/>
        <v>2.3413154256177209</v>
      </c>
      <c r="G12" s="97">
        <f t="shared" si="1"/>
        <v>2.3413154256175455</v>
      </c>
    </row>
    <row r="13" spans="1:7" x14ac:dyDescent="0.4">
      <c r="A13" s="95">
        <v>275</v>
      </c>
      <c r="B13" s="96">
        <v>134.33588927955159</v>
      </c>
      <c r="C13" s="96">
        <v>132.82649726517431</v>
      </c>
      <c r="D13" s="96">
        <v>6</v>
      </c>
      <c r="E13" s="97">
        <f t="shared" si="0"/>
        <v>2.0612090910603316</v>
      </c>
      <c r="F13" s="97">
        <f t="shared" si="0"/>
        <v>2.0612090910595966</v>
      </c>
      <c r="G13" s="97">
        <f t="shared" si="1"/>
        <v>2.0612090910599639</v>
      </c>
    </row>
    <row r="14" spans="1:7" x14ac:dyDescent="0.4">
      <c r="A14" s="95">
        <v>300</v>
      </c>
      <c r="B14" s="96">
        <v>134.27255208094218</v>
      </c>
      <c r="C14" s="96">
        <v>132.76387172048183</v>
      </c>
      <c r="D14" s="96">
        <v>6</v>
      </c>
      <c r="E14" s="97">
        <f t="shared" si="0"/>
        <v>1.8859352909813549</v>
      </c>
      <c r="F14" s="97">
        <f t="shared" si="0"/>
        <v>1.8859352909820322</v>
      </c>
      <c r="G14" s="97">
        <f t="shared" si="1"/>
        <v>1.8859352909816935</v>
      </c>
    </row>
    <row r="15" spans="1:7" x14ac:dyDescent="0.4">
      <c r="A15" s="95">
        <v>325</v>
      </c>
      <c r="B15" s="96">
        <v>134.21578003687597</v>
      </c>
      <c r="C15" s="96">
        <v>132.70773756455119</v>
      </c>
      <c r="D15" s="96">
        <v>6</v>
      </c>
      <c r="E15" s="97">
        <f t="shared" si="0"/>
        <v>1.6912479337395436</v>
      </c>
      <c r="F15" s="97">
        <f t="shared" si="0"/>
        <v>1.6912479337396629</v>
      </c>
      <c r="G15" s="97">
        <f t="shared" si="1"/>
        <v>1.6912479337396031</v>
      </c>
    </row>
    <row r="16" spans="1:7" x14ac:dyDescent="0.4">
      <c r="A16" s="95">
        <v>350</v>
      </c>
      <c r="B16" s="96">
        <v>134.16575851449528</v>
      </c>
      <c r="C16" s="96">
        <v>132.65827808174782</v>
      </c>
      <c r="D16" s="96">
        <v>6</v>
      </c>
      <c r="E16" s="97">
        <f t="shared" si="0"/>
        <v>1.4907791726709196</v>
      </c>
      <c r="F16" s="97">
        <f t="shared" si="0"/>
        <v>1.4907791726707211</v>
      </c>
      <c r="G16" s="97">
        <f t="shared" si="1"/>
        <v>1.4907791726708204</v>
      </c>
    </row>
    <row r="17" spans="1:7" x14ac:dyDescent="0.4">
      <c r="A17" s="95">
        <v>375</v>
      </c>
      <c r="B17" s="96">
        <v>134.11983763486629</v>
      </c>
      <c r="C17" s="96">
        <v>132.61287316705847</v>
      </c>
      <c r="D17" s="96">
        <v>6</v>
      </c>
      <c r="E17" s="97">
        <f t="shared" si="0"/>
        <v>1.3690789702957771</v>
      </c>
      <c r="F17" s="97">
        <f t="shared" si="0"/>
        <v>1.3690789702962038</v>
      </c>
      <c r="G17" s="97">
        <f t="shared" si="1"/>
        <v>1.3690789702959905</v>
      </c>
    </row>
    <row r="18" spans="1:7" x14ac:dyDescent="0.4">
      <c r="A18" s="95">
        <v>400</v>
      </c>
      <c r="B18" s="96">
        <v>134.07839605836276</v>
      </c>
      <c r="C18" s="96">
        <v>132.57189722624599</v>
      </c>
      <c r="D18" s="96">
        <v>6</v>
      </c>
      <c r="E18" s="97">
        <f t="shared" si="0"/>
        <v>1.2359566559080528</v>
      </c>
      <c r="F18" s="97">
        <f t="shared" si="0"/>
        <v>1.2359566559078634</v>
      </c>
      <c r="G18" s="97">
        <f t="shared" si="1"/>
        <v>1.235956655907958</v>
      </c>
    </row>
    <row r="19" spans="1:7" x14ac:dyDescent="0.4">
      <c r="A19" s="95">
        <v>425</v>
      </c>
      <c r="B19" s="96">
        <v>134.04082336242473</v>
      </c>
      <c r="C19" s="96">
        <v>132.53474669543087</v>
      </c>
      <c r="D19" s="96">
        <v>6</v>
      </c>
      <c r="E19" s="97">
        <f t="shared" ref="E19:F34" si="2">IF($A19="","",(B18-B19)*1000/(B18*($A19-$A18))*100)</f>
        <v>1.120917225819722</v>
      </c>
      <c r="F19" s="97">
        <f t="shared" si="2"/>
        <v>1.1209172258197344</v>
      </c>
      <c r="G19" s="97">
        <f t="shared" si="1"/>
        <v>1.1209172258197282</v>
      </c>
    </row>
    <row r="20" spans="1:7" x14ac:dyDescent="0.4">
      <c r="A20" s="95">
        <v>450</v>
      </c>
      <c r="B20" s="96">
        <v>134.00718527150718</v>
      </c>
      <c r="C20" s="96">
        <v>132.50148656059105</v>
      </c>
      <c r="D20" s="96">
        <v>6</v>
      </c>
      <c r="E20" s="97">
        <f t="shared" si="2"/>
        <v>1.0038163023393827</v>
      </c>
      <c r="F20" s="97">
        <f t="shared" si="2"/>
        <v>1.0038163023393176</v>
      </c>
      <c r="G20" s="97">
        <f t="shared" si="1"/>
        <v>1.00381630233935</v>
      </c>
    </row>
    <row r="21" spans="1:7" x14ac:dyDescent="0.4">
      <c r="A21" s="95">
        <v>475</v>
      </c>
      <c r="B21" s="96">
        <v>133.97447154781003</v>
      </c>
      <c r="C21" s="96">
        <v>132.46914040682307</v>
      </c>
      <c r="D21" s="96">
        <v>6</v>
      </c>
      <c r="E21" s="97">
        <f t="shared" si="2"/>
        <v>0.97647670551027632</v>
      </c>
      <c r="F21" s="97">
        <f t="shared" si="2"/>
        <v>0.97647670551026899</v>
      </c>
      <c r="G21" s="97">
        <f t="shared" si="1"/>
        <v>0.97647670551027266</v>
      </c>
    </row>
    <row r="22" spans="1:7" x14ac:dyDescent="0.4">
      <c r="A22" s="95">
        <v>500</v>
      </c>
      <c r="B22" s="96">
        <v>133.94268152469022</v>
      </c>
      <c r="C22" s="96">
        <v>132.43770757497427</v>
      </c>
      <c r="D22" s="96">
        <v>6</v>
      </c>
      <c r="E22" s="97">
        <f t="shared" si="2"/>
        <v>0.94913673485821892</v>
      </c>
      <c r="F22" s="97">
        <f t="shared" si="2"/>
        <v>0.94913673485827899</v>
      </c>
      <c r="G22" s="97">
        <f t="shared" si="1"/>
        <v>0.9491367348582489</v>
      </c>
    </row>
    <row r="23" spans="1:7" x14ac:dyDescent="0.4">
      <c r="A23" s="95">
        <v>525</v>
      </c>
      <c r="B23" s="96">
        <v>133.91181455460358</v>
      </c>
      <c r="C23" s="96">
        <v>132.40718742477623</v>
      </c>
      <c r="D23" s="96">
        <v>6</v>
      </c>
      <c r="E23" s="97">
        <f t="shared" si="2"/>
        <v>0.92179639037448424</v>
      </c>
      <c r="F23" s="97">
        <f t="shared" si="2"/>
        <v>0.92179639037517136</v>
      </c>
      <c r="G23" s="97">
        <f t="shared" si="1"/>
        <v>0.92179639037482786</v>
      </c>
    </row>
    <row r="24" spans="1:7" x14ac:dyDescent="0.4">
      <c r="A24" s="95">
        <v>550</v>
      </c>
      <c r="B24" s="96">
        <v>133.88187000908275</v>
      </c>
      <c r="C24" s="96">
        <v>132.37757933482305</v>
      </c>
      <c r="D24" s="96">
        <v>6</v>
      </c>
      <c r="E24" s="97">
        <f t="shared" si="2"/>
        <v>0.89445567205346554</v>
      </c>
      <c r="F24" s="97">
        <f t="shared" si="2"/>
        <v>0.89445567205308218</v>
      </c>
      <c r="G24" s="97">
        <f t="shared" si="1"/>
        <v>0.89445567205327392</v>
      </c>
    </row>
    <row r="25" spans="1:7" x14ac:dyDescent="0.4">
      <c r="A25" s="95">
        <v>575</v>
      </c>
      <c r="B25" s="96">
        <v>133.85284727871593</v>
      </c>
      <c r="C25" s="96">
        <v>132.34888270255024</v>
      </c>
      <c r="D25" s="96">
        <v>6</v>
      </c>
      <c r="E25" s="97">
        <f t="shared" si="2"/>
        <v>0.86711457988598339</v>
      </c>
      <c r="F25" s="97">
        <f t="shared" si="2"/>
        <v>0.86711457988605312</v>
      </c>
      <c r="G25" s="97">
        <f t="shared" si="1"/>
        <v>0.86711457988601826</v>
      </c>
    </row>
    <row r="26" spans="1:7" x14ac:dyDescent="0.4">
      <c r="A26" s="95">
        <v>600</v>
      </c>
      <c r="B26" s="96">
        <v>133.82474577312621</v>
      </c>
      <c r="C26" s="96">
        <v>132.32109694421436</v>
      </c>
      <c r="D26" s="96">
        <v>6</v>
      </c>
      <c r="E26" s="97">
        <f t="shared" si="2"/>
        <v>0.83977311386443954</v>
      </c>
      <c r="F26" s="97">
        <f t="shared" si="2"/>
        <v>0.83977311386386255</v>
      </c>
      <c r="G26" s="97">
        <f t="shared" si="1"/>
        <v>0.8397731138641511</v>
      </c>
    </row>
    <row r="27" spans="1:7" x14ac:dyDescent="0.4">
      <c r="A27" s="95">
        <v>625</v>
      </c>
      <c r="B27" s="96">
        <v>133.79756492095154</v>
      </c>
      <c r="C27" s="96">
        <v>132.29422149487311</v>
      </c>
      <c r="D27" s="96">
        <v>6</v>
      </c>
      <c r="E27" s="97">
        <f t="shared" si="2"/>
        <v>0.81243127398115766</v>
      </c>
      <c r="F27" s="97">
        <f t="shared" si="2"/>
        <v>0.81243127398128512</v>
      </c>
      <c r="G27" s="97">
        <f t="shared" si="1"/>
        <v>0.81243127398122139</v>
      </c>
    </row>
    <row r="28" spans="1:7" x14ac:dyDescent="0.4">
      <c r="A28" s="95">
        <v>650</v>
      </c>
      <c r="B28" s="96">
        <v>133.77130416982536</v>
      </c>
      <c r="C28" s="96">
        <v>132.26825580836632</v>
      </c>
      <c r="D28" s="96">
        <v>6</v>
      </c>
      <c r="E28" s="97">
        <f t="shared" si="2"/>
        <v>0.78508906022923997</v>
      </c>
      <c r="F28" s="97">
        <f t="shared" si="2"/>
        <v>0.78508906022929026</v>
      </c>
      <c r="G28" s="97">
        <f t="shared" si="1"/>
        <v>0.78508906022926506</v>
      </c>
    </row>
    <row r="29" spans="1:7" x14ac:dyDescent="0.4">
      <c r="A29" s="95">
        <v>675</v>
      </c>
      <c r="B29" s="96">
        <v>133.74596298635788</v>
      </c>
      <c r="C29" s="96">
        <v>132.24319935729739</v>
      </c>
      <c r="D29" s="96">
        <v>6</v>
      </c>
      <c r="E29" s="97">
        <f t="shared" si="2"/>
        <v>0.75774647260084738</v>
      </c>
      <c r="F29" s="97">
        <f t="shared" si="2"/>
        <v>0.75774647259995109</v>
      </c>
      <c r="G29" s="97">
        <f t="shared" si="1"/>
        <v>0.75774647260039929</v>
      </c>
    </row>
    <row r="30" spans="1:7" s="96" customFormat="1" x14ac:dyDescent="0.4">
      <c r="A30" s="95">
        <v>700</v>
      </c>
      <c r="B30" s="96">
        <v>133.72154085611814</v>
      </c>
      <c r="C30" s="96">
        <v>132.2190516330154</v>
      </c>
      <c r="D30" s="96">
        <v>6</v>
      </c>
      <c r="E30" s="97">
        <f t="shared" si="2"/>
        <v>0.73040351108715285</v>
      </c>
      <c r="F30" s="97">
        <f t="shared" si="2"/>
        <v>0.7304035110870386</v>
      </c>
      <c r="G30" s="97">
        <f t="shared" si="1"/>
        <v>0.73040351108709567</v>
      </c>
    </row>
    <row r="31" spans="1:7" x14ac:dyDescent="0.4">
      <c r="A31" s="95">
        <v>725</v>
      </c>
      <c r="B31" s="96">
        <v>133.69803728361646</v>
      </c>
      <c r="C31" s="96">
        <v>132.19581214559801</v>
      </c>
      <c r="D31" s="96">
        <v>6</v>
      </c>
      <c r="E31" s="97">
        <f t="shared" si="2"/>
        <v>0.70306017568166823</v>
      </c>
      <c r="F31" s="97">
        <f t="shared" si="2"/>
        <v>0.70306017568142809</v>
      </c>
      <c r="G31" s="97">
        <f t="shared" si="1"/>
        <v>0.70306017568154822</v>
      </c>
    </row>
    <row r="32" spans="1:7" x14ac:dyDescent="0.4">
      <c r="A32" s="95">
        <v>750</v>
      </c>
      <c r="B32" s="96">
        <v>133.67545179228779</v>
      </c>
      <c r="C32" s="96">
        <v>132.17348042383483</v>
      </c>
      <c r="D32" s="96">
        <v>6</v>
      </c>
      <c r="E32" s="97">
        <f t="shared" si="2"/>
        <v>0.67571646637589833</v>
      </c>
      <c r="F32" s="97">
        <f t="shared" si="2"/>
        <v>0.67571646637593841</v>
      </c>
      <c r="G32" s="97">
        <f t="shared" si="1"/>
        <v>0.67571646637591831</v>
      </c>
    </row>
    <row r="33" spans="1:7" x14ac:dyDescent="0.4">
      <c r="A33" s="95">
        <v>775</v>
      </c>
      <c r="B33" s="96">
        <v>133.65378392447553</v>
      </c>
      <c r="C33" s="96">
        <v>132.15205601521149</v>
      </c>
      <c r="D33" s="96">
        <v>6</v>
      </c>
      <c r="E33" s="97">
        <f t="shared" si="2"/>
        <v>0.6483723831634709</v>
      </c>
      <c r="F33" s="97">
        <f t="shared" si="2"/>
        <v>0.64837238316326939</v>
      </c>
      <c r="G33" s="97">
        <f t="shared" si="1"/>
        <v>0.64837238316337009</v>
      </c>
    </row>
    <row r="34" spans="1:7" x14ac:dyDescent="0.4">
      <c r="A34" s="95">
        <v>800</v>
      </c>
      <c r="B34" s="96">
        <v>133.63303324141617</v>
      </c>
      <c r="C34" s="96">
        <v>132.1315384858944</v>
      </c>
      <c r="D34" s="96">
        <v>6</v>
      </c>
      <c r="E34" s="97">
        <f t="shared" si="2"/>
        <v>0.62102792603574208</v>
      </c>
      <c r="F34" s="97">
        <f t="shared" si="2"/>
        <v>0.62102792603477686</v>
      </c>
      <c r="G34" s="97">
        <f t="shared" si="1"/>
        <v>0.62102792603525947</v>
      </c>
    </row>
    <row r="35" spans="1:7" x14ac:dyDescent="0.4">
      <c r="A35" s="95">
        <v>825</v>
      </c>
      <c r="B35" s="96">
        <v>133.61319932322445</v>
      </c>
      <c r="C35" s="96">
        <v>132.11192742071609</v>
      </c>
      <c r="D35" s="96">
        <v>6</v>
      </c>
      <c r="E35" s="97">
        <f t="shared" ref="E35:F42" si="3">IF($A35="","",(B34-B35)*1000/(B34*($A35-$A34))*100)</f>
        <v>0.59368309498418104</v>
      </c>
      <c r="F35" s="97">
        <f t="shared" si="3"/>
        <v>0.59368309498352478</v>
      </c>
      <c r="G35" s="97">
        <f t="shared" si="1"/>
        <v>0.59368309498385297</v>
      </c>
    </row>
    <row r="36" spans="1:7" x14ac:dyDescent="0.4">
      <c r="A36" s="95">
        <v>850</v>
      </c>
      <c r="B36" s="96">
        <v>133.59428176887914</v>
      </c>
      <c r="C36" s="96">
        <v>132.09322242316119</v>
      </c>
      <c r="D36" s="96">
        <v>6</v>
      </c>
      <c r="E36" s="97">
        <f t="shared" si="3"/>
        <v>0.56633789000273682</v>
      </c>
      <c r="F36" s="97">
        <f t="shared" si="3"/>
        <v>0.56633789000215762</v>
      </c>
      <c r="G36" s="97">
        <f t="shared" si="1"/>
        <v>0.56633789000244716</v>
      </c>
    </row>
    <row r="37" spans="1:7" x14ac:dyDescent="0.4">
      <c r="A37" s="95">
        <v>875</v>
      </c>
      <c r="B37" s="96">
        <v>133.57628019620961</v>
      </c>
      <c r="C37" s="96">
        <v>132.07542311535315</v>
      </c>
      <c r="D37" s="96">
        <v>6</v>
      </c>
      <c r="E37" s="97">
        <f t="shared" si="3"/>
        <v>0.53899231108337864</v>
      </c>
      <c r="F37" s="97">
        <f t="shared" si="3"/>
        <v>0.53899231108247048</v>
      </c>
      <c r="G37" s="97">
        <f t="shared" si="1"/>
        <v>0.53899231108292456</v>
      </c>
    </row>
    <row r="38" spans="1:7" x14ac:dyDescent="0.4">
      <c r="A38" s="95">
        <v>900</v>
      </c>
      <c r="B38" s="96">
        <v>133.55919424188292</v>
      </c>
      <c r="C38" s="96">
        <v>132.05852913804139</v>
      </c>
      <c r="D38" s="96">
        <v>6</v>
      </c>
      <c r="E38" s="97">
        <f t="shared" si="3"/>
        <v>0.51164635821842308</v>
      </c>
      <c r="F38" s="97">
        <f t="shared" si="3"/>
        <v>0.51164635821754367</v>
      </c>
      <c r="G38" s="97">
        <f t="shared" si="1"/>
        <v>0.51164635821798332</v>
      </c>
    </row>
    <row r="39" spans="1:7" x14ac:dyDescent="0.4">
      <c r="A39" s="95">
        <v>925</v>
      </c>
      <c r="B39" s="96">
        <v>133.54302356139166</v>
      </c>
      <c r="C39" s="96">
        <v>132.04254015058939</v>
      </c>
      <c r="D39" s="96">
        <v>6</v>
      </c>
      <c r="E39" s="97">
        <f t="shared" si="3"/>
        <v>0.48430003139943895</v>
      </c>
      <c r="F39" s="97">
        <f t="shared" si="3"/>
        <v>0.48430003139869465</v>
      </c>
      <c r="G39" s="97">
        <f t="shared" si="1"/>
        <v>0.4843000313990668</v>
      </c>
    </row>
    <row r="40" spans="1:7" x14ac:dyDescent="0.4">
      <c r="A40" s="95">
        <v>950</v>
      </c>
      <c r="B40" s="96">
        <v>133.52776782904232</v>
      </c>
      <c r="C40" s="96">
        <v>132.02745583096311</v>
      </c>
      <c r="D40" s="96">
        <v>6</v>
      </c>
      <c r="E40" s="97">
        <f t="shared" si="3"/>
        <v>0.45695333061954002</v>
      </c>
      <c r="F40" s="97">
        <f t="shared" si="3"/>
        <v>0.45695333061843763</v>
      </c>
      <c r="G40" s="97">
        <f t="shared" si="1"/>
        <v>0.4569533306189888</v>
      </c>
    </row>
    <row r="41" spans="1:7" x14ac:dyDescent="0.4">
      <c r="A41" s="95">
        <v>975</v>
      </c>
      <c r="B41" s="96">
        <v>133.51342673794437</v>
      </c>
      <c r="C41" s="96">
        <v>132.01327587572024</v>
      </c>
      <c r="D41" s="96">
        <v>6</v>
      </c>
      <c r="E41" s="97">
        <f t="shared" si="3"/>
        <v>0.42960625587055495</v>
      </c>
      <c r="F41" s="97">
        <f t="shared" si="3"/>
        <v>0.42960625586912327</v>
      </c>
      <c r="G41" s="97">
        <f t="shared" si="1"/>
        <v>0.42960625586983914</v>
      </c>
    </row>
    <row r="42" spans="1:7" x14ac:dyDescent="0.4">
      <c r="A42" s="95">
        <v>1000</v>
      </c>
      <c r="B42" s="96">
        <v>133.5</v>
      </c>
      <c r="C42" s="96">
        <v>132</v>
      </c>
      <c r="D42" s="96">
        <v>6</v>
      </c>
      <c r="E42" s="97">
        <f t="shared" si="3"/>
        <v>0.402258807145288</v>
      </c>
      <c r="F42" s="97">
        <f t="shared" si="3"/>
        <v>0.40225880714414625</v>
      </c>
      <c r="G42" s="97">
        <f t="shared" si="1"/>
        <v>0.40225880714471712</v>
      </c>
    </row>
  </sheetData>
  <phoneticPr fontId="1"/>
  <conditionalFormatting sqref="B2:D42">
    <cfRule type="expression" dxfId="985" priority="1">
      <formula>$A2&lt;&gt;""</formula>
    </cfRule>
  </conditionalFormatting>
  <dataValidations count="1">
    <dataValidation imeMode="disabled" allowBlank="1" showInputMessage="1" showErrorMessage="1" sqref="H1:H1048576 A1:D1048576" xr:uid="{FF576CCB-D193-41A5-B7A3-2497709B3945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information</vt:lpstr>
      <vt:lpstr>e01188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mould mojimetal</cp:lastModifiedBy>
  <dcterms:created xsi:type="dcterms:W3CDTF">2023-08-17T04:42:45Z</dcterms:created>
  <dcterms:modified xsi:type="dcterms:W3CDTF">2024-11-01T00:44:21Z</dcterms:modified>
</cp:coreProperties>
</file>