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616B0E70-7FDB-4312-8E10-32C67825B943}" xr6:coauthVersionLast="47" xr6:coauthVersionMax="47" xr10:uidLastSave="{00000000-0000-0000-0000-000000000000}"/>
  <bookViews>
    <workbookView xWindow="28800" yWindow="0" windowWidth="18735" windowHeight="21600" tabRatio="682" xr2:uid="{331D296A-DE97-4357-9338-22F5C8F49D08}"/>
  </bookViews>
  <sheets>
    <sheet name="infomation" sheetId="75" r:id="rId1"/>
    <sheet name="e00941" sheetId="7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8" i="76" l="1"/>
  <c r="F38" i="76"/>
  <c r="E38" i="76"/>
  <c r="D38" i="76"/>
  <c r="F37" i="76"/>
  <c r="E37" i="76"/>
  <c r="G37" i="76" s="1"/>
  <c r="D37" i="76"/>
  <c r="F36" i="76"/>
  <c r="E36" i="76"/>
  <c r="G36" i="76" s="1"/>
  <c r="D36" i="76"/>
  <c r="F35" i="76"/>
  <c r="G35" i="76" s="1"/>
  <c r="E35" i="76"/>
  <c r="D35" i="76"/>
  <c r="F34" i="76"/>
  <c r="E34" i="76"/>
  <c r="G34" i="76" s="1"/>
  <c r="D34" i="76"/>
  <c r="F33" i="76"/>
  <c r="E33" i="76"/>
  <c r="G33" i="76" s="1"/>
  <c r="D33" i="76"/>
  <c r="G32" i="76"/>
  <c r="F32" i="76"/>
  <c r="E32" i="76"/>
  <c r="D32" i="76"/>
  <c r="F31" i="76"/>
  <c r="E31" i="76"/>
  <c r="G31" i="76" s="1"/>
  <c r="D31" i="76"/>
  <c r="F30" i="76"/>
  <c r="E30" i="76"/>
  <c r="G30" i="76" s="1"/>
  <c r="D30" i="76"/>
  <c r="F29" i="76"/>
  <c r="G29" i="76" s="1"/>
  <c r="E29" i="76"/>
  <c r="D29" i="76"/>
  <c r="F28" i="76"/>
  <c r="E28" i="76"/>
  <c r="G28" i="76" s="1"/>
  <c r="D28" i="76"/>
  <c r="F27" i="76"/>
  <c r="E27" i="76"/>
  <c r="G27" i="76" s="1"/>
  <c r="D27" i="76"/>
  <c r="G26" i="76"/>
  <c r="F26" i="76"/>
  <c r="E26" i="76"/>
  <c r="D26" i="76"/>
  <c r="F25" i="76"/>
  <c r="E25" i="76"/>
  <c r="G25" i="76" s="1"/>
  <c r="D25" i="76"/>
  <c r="F24" i="76"/>
  <c r="E24" i="76"/>
  <c r="G24" i="76" s="1"/>
  <c r="D24" i="76"/>
  <c r="G23" i="76"/>
  <c r="F23" i="76"/>
  <c r="E23" i="76"/>
  <c r="D23" i="76"/>
  <c r="F22" i="76"/>
  <c r="E22" i="76"/>
  <c r="G22" i="76" s="1"/>
  <c r="D22" i="76"/>
  <c r="F21" i="76"/>
  <c r="E21" i="76"/>
  <c r="G21" i="76" s="1"/>
  <c r="D21" i="76"/>
  <c r="G20" i="76"/>
  <c r="F20" i="76"/>
  <c r="E20" i="76"/>
  <c r="D20" i="76"/>
  <c r="F19" i="76"/>
  <c r="E19" i="76"/>
  <c r="G19" i="76" s="1"/>
  <c r="D19" i="76"/>
  <c r="F18" i="76"/>
  <c r="E18" i="76"/>
  <c r="G18" i="76" s="1"/>
  <c r="D18" i="76"/>
  <c r="F17" i="76"/>
  <c r="G17" i="76" s="1"/>
  <c r="E17" i="76"/>
  <c r="D17" i="76"/>
  <c r="F16" i="76"/>
  <c r="E16" i="76"/>
  <c r="G16" i="76" s="1"/>
  <c r="D16" i="76"/>
  <c r="F15" i="76"/>
  <c r="E15" i="76"/>
  <c r="G15" i="76" s="1"/>
  <c r="D15" i="76"/>
  <c r="F14" i="76"/>
  <c r="E14" i="76"/>
  <c r="G14" i="76" s="1"/>
  <c r="D14" i="76"/>
  <c r="F13" i="76"/>
  <c r="E13" i="76"/>
  <c r="G13" i="76" s="1"/>
  <c r="D13" i="76"/>
  <c r="F12" i="76"/>
  <c r="E12" i="76"/>
  <c r="G12" i="76" s="1"/>
  <c r="D12" i="76"/>
  <c r="F11" i="76"/>
  <c r="G11" i="76" s="1"/>
  <c r="E11" i="76"/>
  <c r="D11" i="76"/>
  <c r="F10" i="76"/>
  <c r="E10" i="76"/>
  <c r="G10" i="76" s="1"/>
  <c r="D10" i="76"/>
  <c r="F9" i="76"/>
  <c r="E9" i="76"/>
  <c r="G9" i="76" s="1"/>
  <c r="D9" i="76"/>
  <c r="G8" i="76"/>
  <c r="F8" i="76"/>
  <c r="E8" i="76"/>
  <c r="D8" i="76"/>
  <c r="F7" i="76"/>
  <c r="E7" i="76"/>
  <c r="G7" i="76" s="1"/>
  <c r="D7" i="76"/>
  <c r="F6" i="76"/>
  <c r="E6" i="76"/>
  <c r="G6" i="76" s="1"/>
  <c r="D6" i="76"/>
  <c r="F5" i="76"/>
  <c r="G5" i="76" s="1"/>
  <c r="E5" i="76"/>
  <c r="D5" i="76"/>
  <c r="F4" i="76"/>
  <c r="E4" i="76"/>
  <c r="G4" i="76" s="1"/>
  <c r="D4" i="76"/>
  <c r="F3" i="76"/>
  <c r="E3" i="76"/>
  <c r="G3" i="76" s="1"/>
  <c r="D3" i="76"/>
  <c r="D2" i="76"/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1" i="75"/>
  <c r="P62" i="75" s="1"/>
  <c r="J221" i="75"/>
  <c r="J193" i="75"/>
  <c r="J87" i="75"/>
  <c r="P64" i="75"/>
  <c r="P70" i="75" s="1"/>
  <c r="P110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6" i="75"/>
  <c r="J184" i="75"/>
  <c r="M195" i="75"/>
  <c r="J183" i="75"/>
  <c r="M194" i="75"/>
  <c r="J181" i="75"/>
  <c r="M193" i="75"/>
  <c r="J180" i="75"/>
  <c r="M192" i="75"/>
  <c r="M191" i="75"/>
  <c r="M190" i="75"/>
  <c r="M189" i="75"/>
  <c r="M188" i="75"/>
  <c r="M187" i="75"/>
  <c r="M186" i="75"/>
  <c r="M185" i="75"/>
  <c r="J163" i="75"/>
  <c r="M184" i="75"/>
  <c r="J162" i="75"/>
  <c r="M183" i="75"/>
  <c r="J161" i="75"/>
  <c r="M182" i="75"/>
  <c r="J160" i="75"/>
  <c r="O181" i="75"/>
  <c r="M181" i="75"/>
  <c r="J159" i="75"/>
  <c r="O180" i="75"/>
  <c r="M180" i="75"/>
  <c r="J158" i="75"/>
  <c r="O179" i="75"/>
  <c r="M179" i="75"/>
  <c r="J157" i="75"/>
  <c r="O178" i="75"/>
  <c r="M178" i="75"/>
  <c r="O177" i="75"/>
  <c r="M177" i="75"/>
  <c r="O176" i="75"/>
  <c r="M176" i="75"/>
  <c r="M175" i="75"/>
  <c r="M174" i="75"/>
  <c r="O173" i="75"/>
  <c r="M173" i="75"/>
  <c r="J151" i="75"/>
  <c r="O172" i="75"/>
  <c r="M172" i="75"/>
  <c r="O171" i="75"/>
  <c r="M171" i="75"/>
  <c r="O170" i="75"/>
  <c r="M170" i="75"/>
  <c r="O169" i="75"/>
  <c r="M169" i="75"/>
  <c r="M168" i="75"/>
  <c r="M167" i="75"/>
  <c r="J145" i="75"/>
  <c r="O166" i="75"/>
  <c r="M166" i="75"/>
  <c r="J144" i="75"/>
  <c r="O165" i="75"/>
  <c r="M165" i="75"/>
  <c r="O164" i="75"/>
  <c r="M164" i="75"/>
  <c r="O163" i="75"/>
  <c r="M163" i="75"/>
  <c r="O162" i="75"/>
  <c r="M162" i="75"/>
  <c r="O161" i="75"/>
  <c r="M161" i="75"/>
  <c r="J139" i="75"/>
  <c r="M160" i="75"/>
  <c r="M159" i="75"/>
  <c r="J137" i="75"/>
  <c r="O158" i="75"/>
  <c r="M158" i="75"/>
  <c r="O157" i="75"/>
  <c r="M157" i="75"/>
  <c r="O156" i="75"/>
  <c r="M156" i="75"/>
  <c r="J134" i="75" a="1"/>
  <c r="J134" i="75" s="1"/>
  <c r="O155" i="75"/>
  <c r="M155" i="75"/>
  <c r="O154" i="75"/>
  <c r="M154" i="75"/>
  <c r="O153" i="75"/>
  <c r="M153" i="75"/>
  <c r="M152" i="75"/>
  <c r="M151" i="75"/>
  <c r="J129" i="75"/>
  <c r="P150" i="75"/>
  <c r="M150" i="75"/>
  <c r="J128" i="75"/>
  <c r="P149" i="75"/>
  <c r="M149" i="75"/>
  <c r="J127" i="75"/>
  <c r="M148" i="75"/>
  <c r="J126" i="75"/>
  <c r="M147" i="75"/>
  <c r="J125" i="75"/>
  <c r="M146" i="75"/>
  <c r="J124" i="75"/>
  <c r="M145" i="75"/>
  <c r="J123" i="75"/>
  <c r="M144" i="75"/>
  <c r="J122" i="75"/>
  <c r="M143" i="75"/>
  <c r="M142" i="75"/>
  <c r="M141" i="75"/>
  <c r="J119" i="75"/>
  <c r="M140" i="75"/>
  <c r="J118" i="75"/>
  <c r="M139" i="75"/>
  <c r="M138" i="75"/>
  <c r="M137" i="75"/>
  <c r="M136" i="75"/>
  <c r="M135" i="75"/>
  <c r="M134" i="75"/>
  <c r="M133" i="75"/>
  <c r="M132" i="75"/>
  <c r="J110" i="75"/>
  <c r="O131" i="75"/>
  <c r="M131" i="75"/>
  <c r="O130" i="75"/>
  <c r="M130" i="75"/>
  <c r="O129" i="75"/>
  <c r="M129" i="75"/>
  <c r="O128" i="75"/>
  <c r="M128" i="75"/>
  <c r="O127" i="75"/>
  <c r="M127" i="75"/>
  <c r="O126" i="75"/>
  <c r="M126" i="75"/>
  <c r="M125" i="75"/>
  <c r="M124" i="75"/>
  <c r="O123" i="75"/>
  <c r="M123" i="75"/>
  <c r="O122" i="75"/>
  <c r="M122" i="75"/>
  <c r="J100" i="75"/>
  <c r="O121" i="75"/>
  <c r="M121" i="75"/>
  <c r="O120" i="75"/>
  <c r="M120" i="75"/>
  <c r="O119" i="75"/>
  <c r="M119" i="75"/>
  <c r="O118" i="75"/>
  <c r="M118" i="75"/>
  <c r="M117" i="75"/>
  <c r="J95" i="75"/>
  <c r="M116" i="75"/>
  <c r="M115" i="75"/>
  <c r="M114" i="75"/>
  <c r="J92" i="75"/>
  <c r="M113" i="75"/>
  <c r="M112" i="75"/>
  <c r="M111" i="75"/>
  <c r="J89" i="75"/>
  <c r="M110" i="75"/>
  <c r="J88" i="75"/>
  <c r="O109" i="75"/>
  <c r="M109" i="75"/>
  <c r="O108" i="75"/>
  <c r="M108" i="75"/>
  <c r="O107" i="75"/>
  <c r="M107" i="75"/>
  <c r="O106" i="75"/>
  <c r="M106" i="75"/>
  <c r="J84" i="75"/>
  <c r="O105" i="75"/>
  <c r="M105" i="75"/>
  <c r="O104" i="75"/>
  <c r="M104" i="75"/>
  <c r="M103" i="75"/>
  <c r="M102" i="75"/>
  <c r="O101" i="75"/>
  <c r="M101" i="75"/>
  <c r="J79" i="75"/>
  <c r="O100" i="75"/>
  <c r="M100" i="75"/>
  <c r="O99" i="75"/>
  <c r="M99" i="75"/>
  <c r="O98" i="75"/>
  <c r="M98" i="75"/>
  <c r="J76" i="75"/>
  <c r="O97" i="75"/>
  <c r="M97" i="75"/>
  <c r="O96" i="75"/>
  <c r="M96" i="75"/>
  <c r="J74" i="75"/>
  <c r="M95" i="75"/>
  <c r="M94" i="75"/>
  <c r="O93" i="75"/>
  <c r="M93" i="75"/>
  <c r="J71" i="75"/>
  <c r="O92" i="75"/>
  <c r="M92" i="75"/>
  <c r="J70" i="75" a="1"/>
  <c r="J70" i="75" s="1"/>
  <c r="O91" i="75"/>
  <c r="M91" i="75"/>
  <c r="O90" i="75"/>
  <c r="M90" i="75"/>
  <c r="O89" i="75"/>
  <c r="M89" i="75"/>
  <c r="O88" i="75"/>
  <c r="M88" i="75"/>
  <c r="M87" i="75"/>
  <c r="M86" i="75"/>
  <c r="O85" i="75"/>
  <c r="M85" i="75"/>
  <c r="J63" i="75" a="1"/>
  <c r="J63" i="75" s="1"/>
  <c r="O84" i="75"/>
  <c r="M84" i="75"/>
  <c r="O83" i="75"/>
  <c r="M83" i="75"/>
  <c r="O82" i="75"/>
  <c r="M82" i="75"/>
  <c r="O81" i="75"/>
  <c r="M81" i="75"/>
  <c r="O80" i="75"/>
  <c r="M80" i="75"/>
  <c r="J58" i="75"/>
  <c r="M79" i="75"/>
  <c r="M78" i="75"/>
  <c r="O77" i="75"/>
  <c r="M77" i="75"/>
  <c r="J55" i="75"/>
  <c r="O76" i="75"/>
  <c r="M76" i="75"/>
  <c r="O75" i="75"/>
  <c r="M75" i="75"/>
  <c r="O74" i="75"/>
  <c r="M74" i="75"/>
  <c r="J52" i="75"/>
  <c r="O73" i="75"/>
  <c r="M73" i="75"/>
  <c r="J51" i="75"/>
  <c r="O72" i="75"/>
  <c r="M72" i="75"/>
  <c r="M71" i="75"/>
  <c r="M70" i="75"/>
  <c r="O69" i="75"/>
  <c r="M69" i="75"/>
  <c r="J47" i="75"/>
  <c r="O68" i="75"/>
  <c r="M68" i="75"/>
  <c r="O67" i="75"/>
  <c r="M67" i="75"/>
  <c r="O66" i="75"/>
  <c r="M66" i="75"/>
  <c r="O65" i="75"/>
  <c r="M65" i="75"/>
  <c r="O64" i="75"/>
  <c r="M64" i="75"/>
  <c r="J42" i="75"/>
  <c r="M63" i="75"/>
  <c r="M62" i="75"/>
  <c r="M61" i="75"/>
  <c r="J39" i="75"/>
  <c r="M60" i="75"/>
  <c r="J38" i="75"/>
  <c r="M59" i="75"/>
  <c r="J37" i="75" a="1"/>
  <c r="J37" i="75" s="1"/>
  <c r="M58" i="75"/>
  <c r="M57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7" i="75"/>
  <c r="P158" i="75" s="1"/>
  <c r="P76" i="75"/>
  <c r="P123" i="75"/>
  <c r="P84" i="75" a="1"/>
  <c r="P157" i="75"/>
  <c r="P85" i="75" a="1"/>
  <c r="J48" i="75"/>
  <c r="P116" i="75"/>
  <c r="P115" i="75"/>
  <c r="P117" i="75"/>
  <c r="J205" i="75" l="1"/>
  <c r="J204" i="75"/>
  <c r="J266" i="75"/>
  <c r="J265" i="75"/>
  <c r="P36" i="75"/>
  <c r="P33" i="75"/>
  <c r="P37" i="75" s="1"/>
  <c r="P35" i="75"/>
  <c r="K5" i="75"/>
  <c r="P58" i="75"/>
  <c r="P59" i="75" s="1"/>
  <c r="J50" i="75"/>
  <c r="K50" i="75" s="1"/>
  <c r="J35" i="75"/>
  <c r="J268" i="75"/>
  <c r="J279" i="75"/>
  <c r="P34" i="75"/>
  <c r="P68" i="75"/>
  <c r="P108" i="75" s="1"/>
  <c r="J315" i="75" s="1"/>
  <c r="P69" i="75"/>
  <c r="P109" i="75" s="1"/>
  <c r="J316" i="75" s="1"/>
  <c r="P84" i="75"/>
  <c r="P92" i="75"/>
  <c r="P85" i="75"/>
  <c r="P93" i="75"/>
  <c r="P66" i="75"/>
  <c r="P106" i="75" s="1"/>
  <c r="J313" i="75" s="1"/>
  <c r="J317" i="75"/>
  <c r="P192" i="75"/>
  <c r="P65" i="75"/>
  <c r="P105" i="75" s="1"/>
  <c r="J312" i="75" s="1"/>
  <c r="P14" i="75"/>
  <c r="P63" i="75"/>
  <c r="P71" i="75"/>
  <c r="P111" i="75" s="1"/>
  <c r="J318" i="75" s="1"/>
  <c r="P104" i="75"/>
  <c r="J311" i="75" s="1"/>
  <c r="P67" i="75"/>
  <c r="P107" i="75" s="1"/>
  <c r="J314" i="75" s="1"/>
  <c r="P50" i="75"/>
  <c r="P186" i="75"/>
  <c r="P187" i="75" s="1"/>
  <c r="P189" i="75" s="1"/>
  <c r="P166" i="75"/>
  <c r="P131" i="75"/>
  <c r="P122" i="75"/>
  <c r="P165" i="75"/>
  <c r="P130" i="75"/>
  <c r="P74" i="75"/>
  <c r="P72" i="75"/>
  <c r="P73" i="75"/>
  <c r="P75" i="75"/>
  <c r="P112" i="75"/>
  <c r="P78" i="75"/>
  <c r="P175" i="75"/>
  <c r="P79" i="75"/>
  <c r="P114" i="75"/>
  <c r="P113" i="75"/>
  <c r="J66" i="75" l="1"/>
  <c r="P60" i="75"/>
  <c r="P191" i="75"/>
  <c r="P101" i="75"/>
  <c r="P181" i="75" s="1"/>
  <c r="P100" i="75"/>
  <c r="P172" i="75" s="1"/>
  <c r="P13" i="75"/>
  <c r="P29" i="75" s="1"/>
  <c r="P190" i="75"/>
  <c r="P193" i="75"/>
  <c r="P195" i="75" s="1"/>
  <c r="S2" i="75" s="1"/>
  <c r="S3" i="75" s="1"/>
  <c r="P188" i="75"/>
  <c r="J327" i="75"/>
  <c r="J85" i="75"/>
  <c r="J282" i="75"/>
  <c r="J232" i="75"/>
  <c r="J33" i="75"/>
  <c r="P94" i="75"/>
  <c r="P95" i="75"/>
  <c r="P91" i="75"/>
  <c r="P88" i="75"/>
  <c r="J93" i="75"/>
  <c r="P90" i="75"/>
  <c r="J56" i="75"/>
  <c r="J141" i="75"/>
  <c r="J224" i="75"/>
  <c r="P89" i="75"/>
  <c r="P38" i="75"/>
  <c r="P83" i="75" a="1"/>
  <c r="P80" i="75" a="1"/>
  <c r="P154" i="75"/>
  <c r="P81" i="75" a="1"/>
  <c r="P155" i="75"/>
  <c r="P120" i="75"/>
  <c r="P82" i="75" a="1"/>
  <c r="P119" i="75"/>
  <c r="P118" i="75"/>
  <c r="P153" i="75"/>
  <c r="P121" i="75"/>
  <c r="P156" i="75"/>
  <c r="P125" i="75"/>
  <c r="P159" i="75"/>
  <c r="P87" i="75" a="1"/>
  <c r="P86" i="75" a="1"/>
  <c r="P124" i="75"/>
  <c r="P160" i="75"/>
  <c r="P82" i="75" l="1"/>
  <c r="P98" i="75" s="1"/>
  <c r="P83" i="75"/>
  <c r="P99" i="75" s="1"/>
  <c r="P10" i="75"/>
  <c r="P11" i="75" s="1"/>
  <c r="P12" i="75" s="1"/>
  <c r="S6" i="75"/>
  <c r="P30" i="75"/>
  <c r="P5" i="75" s="1"/>
  <c r="P6" i="75" s="1"/>
  <c r="J13" i="75" s="1"/>
  <c r="J14" i="75" s="1"/>
  <c r="P81" i="75"/>
  <c r="P97" i="75" s="1"/>
  <c r="P80" i="75"/>
  <c r="P96" i="75" s="1"/>
  <c r="P180" i="75"/>
  <c r="P173" i="75"/>
  <c r="P86" i="75"/>
  <c r="P102" i="75" s="1"/>
  <c r="P87" i="75"/>
  <c r="P103" i="75" s="1"/>
  <c r="P194" i="75"/>
  <c r="S4" i="75"/>
  <c r="T2" i="75"/>
  <c r="S23" i="75"/>
  <c r="P134" i="75"/>
  <c r="P137" i="75" s="1"/>
  <c r="P152" i="75"/>
  <c r="P151" i="75"/>
  <c r="P126" i="75"/>
  <c r="P161" i="75"/>
  <c r="P128" i="75"/>
  <c r="P162" i="75"/>
  <c r="P163" i="75"/>
  <c r="P127" i="75"/>
  <c r="P164" i="75"/>
  <c r="P129" i="75"/>
  <c r="P178" i="75" l="1"/>
  <c r="P179" i="75"/>
  <c r="J214" i="75"/>
  <c r="K214" i="75" s="1"/>
  <c r="P177" i="75"/>
  <c r="P176" i="75"/>
  <c r="S12" i="75"/>
  <c r="T12" i="75" s="1"/>
  <c r="S14" i="75"/>
  <c r="T14" i="75" s="1"/>
  <c r="J261" i="75"/>
  <c r="K248" i="75" s="1"/>
  <c r="J130" i="75"/>
  <c r="P4" i="75"/>
  <c r="P7" i="75" s="1"/>
  <c r="J9" i="75" s="1"/>
  <c r="J297" i="75"/>
  <c r="J200" i="75"/>
  <c r="K200" i="75" s="1"/>
  <c r="J179" i="75"/>
  <c r="K179" i="75" s="1"/>
  <c r="J138" i="75"/>
  <c r="K138" i="75" s="1"/>
  <c r="K13" i="75"/>
  <c r="S8" i="75"/>
  <c r="T8" i="75" s="1"/>
  <c r="S9" i="75"/>
  <c r="T9" i="75" s="1"/>
  <c r="S10" i="75"/>
  <c r="T10" i="75" s="1"/>
  <c r="S11" i="75"/>
  <c r="T11" i="75" s="1"/>
  <c r="P196" i="75"/>
  <c r="P171" i="75"/>
  <c r="J333" i="75"/>
  <c r="P169" i="75"/>
  <c r="J328" i="75"/>
  <c r="J334" i="75"/>
  <c r="T3" i="75"/>
  <c r="S5" i="75"/>
  <c r="P170" i="75"/>
  <c r="P133" i="75"/>
  <c r="P132" i="75"/>
  <c r="P168" i="75"/>
  <c r="P167" i="75"/>
  <c r="J335" i="75" l="1"/>
  <c r="P174" i="75"/>
  <c r="P182" i="75"/>
  <c r="J329" i="75"/>
  <c r="P144" i="75" s="1"/>
  <c r="P145" i="75" s="1"/>
  <c r="J10" i="75"/>
  <c r="K261" i="75"/>
  <c r="K236" i="75"/>
  <c r="J323" i="75"/>
  <c r="K323" i="75" s="1"/>
  <c r="J220" i="75"/>
  <c r="K220" i="75" s="1"/>
  <c r="J112" i="75"/>
  <c r="S18" i="75"/>
  <c r="T18" i="75" s="1"/>
  <c r="J321" i="75"/>
  <c r="K321" i="75" s="1"/>
  <c r="J236" i="75"/>
  <c r="J81" i="75"/>
  <c r="K81" i="75" s="1"/>
  <c r="J229" i="75"/>
  <c r="K229" i="75" s="1"/>
  <c r="J103" i="75"/>
  <c r="K103" i="75" s="1"/>
  <c r="J120" i="75"/>
  <c r="K120" i="75" s="1"/>
  <c r="J248" i="75"/>
  <c r="J325" i="75"/>
  <c r="K325" i="75" s="1"/>
  <c r="P8" i="75"/>
  <c r="S13" i="75"/>
  <c r="T13" i="75" s="1"/>
  <c r="J94" i="75"/>
  <c r="K94" i="75" s="1"/>
  <c r="J67" i="75"/>
  <c r="K67" i="75" s="1"/>
  <c r="J322" i="75"/>
  <c r="K322" i="75" s="1"/>
  <c r="J275" i="75"/>
  <c r="K275" i="75" s="1"/>
  <c r="K14" i="75"/>
  <c r="J324" i="75"/>
  <c r="K324" i="75" s="1"/>
  <c r="J206" i="75"/>
  <c r="K206" i="75" s="1"/>
  <c r="J173" i="75"/>
  <c r="K9" i="75"/>
  <c r="J11" i="75"/>
  <c r="J140" i="75"/>
  <c r="K140" i="75" s="1"/>
  <c r="J192" i="75"/>
  <c r="K192" i="75" s="1"/>
  <c r="J150" i="75"/>
  <c r="K173" i="75" s="1"/>
  <c r="J319" i="75"/>
  <c r="K319" i="75" s="1"/>
  <c r="J320" i="75"/>
  <c r="K320" i="75" s="1"/>
  <c r="J166" i="75"/>
  <c r="J326" i="75"/>
  <c r="K326" i="75" s="1"/>
  <c r="P135" i="75"/>
  <c r="P143" i="75"/>
  <c r="P146" i="75" s="1"/>
  <c r="J24" i="75" l="1"/>
  <c r="K24" i="75" s="1"/>
  <c r="J354" i="75" s="1"/>
  <c r="K354" i="75" s="1"/>
  <c r="J20" i="75"/>
  <c r="K20" i="75" s="1"/>
  <c r="J17" i="75"/>
  <c r="J18" i="75" s="1"/>
  <c r="J22" i="75" s="1"/>
  <c r="K22" i="75" s="1"/>
  <c r="P147" i="75"/>
  <c r="P148" i="75" s="1"/>
  <c r="J331" i="75" s="1"/>
  <c r="J332" i="75" s="1"/>
  <c r="K332" i="75" s="1"/>
  <c r="J288" i="75"/>
  <c r="K288" i="75" s="1"/>
  <c r="J86" i="75"/>
  <c r="K86" i="75" s="1"/>
  <c r="J289" i="75"/>
  <c r="K289" i="75" s="1"/>
  <c r="J57" i="75"/>
  <c r="K57" i="75" s="1"/>
  <c r="J278" i="75"/>
  <c r="K278" i="75" s="1"/>
  <c r="J49" i="75"/>
  <c r="K49" i="75" s="1"/>
  <c r="J12" i="75"/>
  <c r="K10" i="75"/>
  <c r="J267" i="75"/>
  <c r="K267" i="75" s="1"/>
  <c r="J44" i="75"/>
  <c r="K44" i="75" s="1"/>
  <c r="J242" i="75"/>
  <c r="K254" i="75" s="1"/>
  <c r="J231" i="75"/>
  <c r="K231" i="75" s="1"/>
  <c r="J254" i="75"/>
  <c r="J34" i="75"/>
  <c r="K34" i="75" s="1"/>
  <c r="J355" i="75"/>
  <c r="K355" i="75" s="1"/>
  <c r="K112" i="75"/>
  <c r="K150" i="75"/>
  <c r="K166" i="75"/>
  <c r="J21" i="75"/>
  <c r="P136" i="75"/>
  <c r="P138" i="75" s="1"/>
  <c r="P139" i="75" s="1"/>
  <c r="J131" i="75" s="1"/>
  <c r="S25" i="75"/>
  <c r="S24" i="75"/>
  <c r="K242" i="75" l="1"/>
  <c r="K17" i="75"/>
  <c r="J23" i="75"/>
  <c r="K21" i="75"/>
  <c r="K18" i="75"/>
  <c r="P140" i="75"/>
  <c r="J330" i="75"/>
  <c r="K330" i="75" s="1"/>
  <c r="K19" i="75" l="1"/>
  <c r="J19" i="75"/>
  <c r="K23" i="75"/>
  <c r="P142" i="75"/>
  <c r="P141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P46" i="75" s="1"/>
  <c r="P45" i="75" s="1"/>
  <c r="J152" i="75"/>
  <c r="J178" i="75"/>
  <c r="J154" i="75"/>
  <c r="J73" i="75"/>
  <c r="J105" i="75"/>
  <c r="J114" i="75"/>
  <c r="P52" i="75" l="1"/>
  <c r="P56" i="75" s="1"/>
  <c r="P53" i="75"/>
  <c r="P54" i="75" s="1"/>
  <c r="S15" i="75"/>
  <c r="J26" i="75"/>
  <c r="K26" i="75" s="1"/>
  <c r="S17" i="75"/>
  <c r="T17" i="75" s="1"/>
  <c r="P48" i="75"/>
  <c r="P47" i="75"/>
  <c r="S19" i="75" l="1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<sst xmlns="http://schemas.openxmlformats.org/spreadsheetml/2006/main" count="1353" uniqueCount="668">
  <si>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</si>
  <si>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</si>
  <si>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</si>
  <si>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</si>
  <si>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</si>
  <si>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</si>
  <si>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</si>
  <si>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</si>
  <si>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</si>
  <si>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</si>
  <si>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</si>
  <si>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</si>
  <si>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</si>
  <si>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</si>
  <si>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</si>
  <si>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</si>
  <si>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</si>
  <si>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</si>
  <si>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</si>
  <si>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</si>
  <si>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</si>
  <si>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</si>
  <si>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</si>
  <si>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</si>
  <si>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</si>
  <si>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</si>
  <si>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</si>
  <si>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</si>
  <si>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</si>
  <si>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</si>
  <si>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</si>
  <si>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</si>
  <si>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</si>
  <si>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</si>
  <si>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</si>
  <si>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</si>
  <si>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</si>
  <si>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</si>
  <si>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</si>
  <si>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</si>
  <si>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</si>
  <si>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</si>
  <si>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</si>
  <si>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</si>
  <si>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</si>
  <si>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</si>
  <si>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</si>
  <si>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</si>
  <si>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</si>
  <si>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</si>
  <si>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</si>
  <si>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</si>
  <si>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</si>
  <si>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</si>
  <si>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</si>
  <si>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</si>
  <si>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</si>
  <si>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</si>
  <si>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</si>
  <si>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</si>
  <si>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</si>
  <si>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</si>
  <si>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</si>
  <si>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</si>
  <si>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</si>
  <si>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</si>
  <si>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</si>
  <si>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</si>
  <si>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</si>
  <si>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</si>
  <si>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</si>
  <si>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</si>
  <si>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</si>
  <si>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</si>
  <si>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</si>
  <si>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</si>
  <si>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</si>
  <si>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</si>
  <si>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</si>
  <si>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</si>
  <si>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</si>
  <si>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</si>
  <si>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</si>
  <si>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</si>
  <si>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</si>
  <si>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</si>
  <si>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</si>
  <si>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</si>
  <si>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</si>
  <si>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</si>
  <si>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</si>
  <si>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</si>
  <si>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</si>
  <si>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</si>
  <si>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</si>
  <si>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</si>
  <si>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</si>
  <si>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</si>
  <si>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</si>
  <si>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</si>
  <si>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</si>
  <si>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</si>
  <si>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</si>
  <si>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</si>
  <si>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</si>
  <si>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</si>
  <si>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</si>
  <si>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</si>
  <si>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</si>
  <si>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</si>
  <si>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</si>
  <si>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</si>
  <si>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</si>
  <si>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</si>
  <si>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</si>
  <si>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</si>
  <si>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</si>
  <si>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</si>
  <si>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</si>
  <si>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</si>
  <si>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</si>
  <si>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</si>
  <si>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</si>
  <si>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</si>
  <si>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</si>
  <si>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</si>
  <si>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</si>
  <si>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</si>
  <si>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</si>
  <si>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</si>
  <si>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</si>
  <si>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</si>
  <si>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</si>
  <si>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</si>
  <si>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</si>
  <si>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</si>
  <si>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</si>
  <si>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</si>
  <si>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</si>
  <si>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</si>
  <si>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</si>
  <si>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</si>
  <si>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</si>
  <si>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</si>
  <si>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</si>
  <si>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</si>
  <si>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</si>
  <si>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</si>
  <si>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</si>
  <si>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</si>
  <si>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</si>
  <si>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</si>
  <si>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</si>
  <si>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</si>
  <si>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</si>
  <si>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</si>
  <si>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</si>
  <si>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</si>
  <si>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</si>
  <si>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</si>
  <si>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</si>
  <si>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</si>
  <si>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</si>
  <si>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</si>
  <si>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</si>
  <si>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</si>
  <si>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</si>
  <si>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</si>
  <si>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</si>
  <si>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</si>
  <si>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</si>
  <si>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</si>
  <si>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</si>
  <si>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</si>
  <si>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</si>
  <si>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</si>
  <si>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</si>
  <si>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</si>
  <si>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</si>
  <si>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</si>
  <si>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</si>
  <si>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</si>
  <si>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</si>
  <si>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</si>
  <si>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</si>
  <si>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</si>
  <si>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</si>
  <si>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</si>
  <si>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</si>
  <si>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</si>
  <si>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</si>
  <si>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</si>
  <si>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</si>
  <si>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</si>
  <si>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</si>
  <si>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</si>
  <si>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</si>
  <si>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</si>
  <si>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</si>
  <si>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</si>
  <si>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</si>
  <si>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</si>
  <si>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</si>
  <si>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</si>
  <si>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</si>
  <si>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</si>
  <si>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</si>
  <si>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</si>
  <si>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</si>
  <si>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</si>
  <si>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</si>
  <si>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</si>
  <si>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</si>
  <si>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</si>
  <si>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</si>
  <si>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</si>
  <si>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</si>
  <si>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</si>
  <si>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</si>
  <si>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</si>
  <si>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</si>
  <si>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</si>
  <si>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</si>
  <si>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</si>
  <si>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</si>
  <si>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</si>
  <si>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</si>
  <si>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</si>
  <si>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</si>
  <si>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</si>
  <si>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</si>
  <si>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</si>
  <si>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</si>
  <si>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</si>
  <si>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</si>
  <si>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</si>
  <si>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</si>
  <si>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</si>
  <si>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</si>
  <si>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</si>
  <si>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</si>
  <si>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</si>
  <si>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</si>
  <si>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</si>
  <si>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</si>
  <si>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</si>
  <si>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</si>
  <si>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</si>
  <si>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</si>
  <si>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</si>
  <si>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</si>
  <si>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</si>
  <si>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</si>
  <si>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</si>
  <si>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</si>
  <si>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</si>
  <si>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</si>
  <si>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</si>
  <si>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</si>
  <si>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</si>
  <si>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</si>
  <si>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</si>
  <si>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</si>
  <si>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</si>
  <si>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</si>
  <si>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</si>
  <si>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</si>
  <si>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</si>
  <si>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</si>
  <si>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</si>
  <si>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</si>
  <si>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</si>
  <si>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</si>
  <si>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</si>
  <si>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</si>
  <si>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</si>
  <si>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</si>
  <si>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</si>
  <si>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</si>
  <si>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</si>
  <si>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</si>
  <si>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</si>
  <si>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</si>
  <si>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</si>
  <si>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</si>
  <si>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</si>
  <si>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</si>
  <si>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</si>
  <si>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</si>
  <si>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</si>
  <si>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</si>
  <si>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</si>
  <si>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</si>
  <si>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</si>
  <si>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</si>
  <si>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</si>
  <si>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</si>
  <si>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</si>
  <si>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</si>
  <si>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</si>
  <si>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</si>
  <si>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</si>
  <si>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</si>
  <si>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</si>
  <si>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</si>
  <si>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</si>
  <si>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</si>
  <si>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</si>
  <si>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</si>
  <si>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</si>
  <si>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</si>
  <si>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</si>
  <si>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</si>
  <si>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</si>
  <si>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</si>
  <si>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</si>
  <si>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</si>
  <si>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</si>
  <si>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</si>
  <si>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</si>
  <si>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</si>
  <si>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</si>
  <si>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</si>
  <si>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</si>
  <si>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</si>
  <si>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</si>
  <si>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</si>
  <si>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</si>
  <si>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</si>
  <si>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</si>
  <si>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</si>
  <si>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</si>
  <si>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</si>
  <si>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</si>
  <si>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</si>
  <si>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</si>
  <si>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</si>
  <si>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</si>
  <si>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</si>
  <si>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</si>
  <si>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</si>
  <si>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</si>
  <si>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</si>
  <si>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</si>
  <si>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</si>
  <si>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</si>
  <si>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</si>
  <si>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</si>
  <si>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</si>
  <si>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</si>
  <si>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</si>
  <si>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</si>
  <si>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</si>
  <si>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</si>
  <si>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</si>
  <si>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</si>
  <si>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</si>
  <si>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</si>
  <si>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</si>
  <si>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</si>
  <si>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</si>
  <si>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</si>
  <si>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</si>
  <si>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</si>
  <si>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</si>
  <si>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</si>
  <si>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</si>
  <si>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</si>
  <si>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</si>
  <si>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</si>
  <si>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</si>
  <si>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</si>
  <si>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</si>
  <si>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</si>
  <si>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</si>
  <si>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</si>
  <si>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</si>
  <si>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</si>
  <si>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</si>
  <si>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</si>
  <si>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</si>
  <si>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</si>
  <si>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</si>
  <si>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</si>
  <si>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</si>
  <si>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</si>
  <si>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</si>
  <si>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</si>
  <si>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</si>
  <si>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</si>
  <si>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</si>
  <si>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</si>
  <si>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</si>
  <si>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</si>
  <si>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</si>
  <si>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</si>
  <si>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</si>
  <si>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</si>
  <si>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</si>
  <si>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</si>
  <si>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</si>
  <si>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</si>
  <si>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</si>
  <si>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</si>
  <si>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</si>
  <si>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</si>
  <si>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</si>
  <si>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</si>
  <si>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</si>
  <si>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</si>
  <si>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</si>
  <si>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</si>
  <si>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</si>
  <si>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</si>
  <si>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</si>
  <si>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</si>
  <si>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</si>
  <si>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</si>
  <si>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</si>
  <si>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</si>
  <si>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</si>
  <si>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</si>
  <si>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</si>
  <si>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</si>
  <si>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</si>
  <si>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</si>
  <si>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</si>
  <si>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</si>
  <si>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</si>
  <si>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</si>
  <si>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</si>
  <si>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</si>
  <si>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</si>
  <si>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</si>
  <si>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</si>
  <si>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</si>
  <si>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</si>
  <si>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</si>
  <si>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</si>
  <si>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</si>
  <si>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</si>
  <si>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</si>
  <si>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</si>
  <si>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</si>
  <si>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</si>
  <si>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</si>
  <si>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</si>
  <si>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</si>
  <si>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</si>
  <si>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</si>
  <si>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</si>
  <si>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</si>
  <si>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</si>
  <si>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</si>
  <si>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</si>
  <si>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</si>
  <si>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</si>
  <si>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</si>
  <si>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</si>
  <si>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</si>
  <si>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</si>
  <si>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</si>
  <si>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</si>
  <si>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</si>
  <si>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</si>
  <si>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</si>
  <si>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</si>
  <si>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</si>
  <si>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</si>
  <si>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</si>
  <si>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</si>
  <si>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</si>
  <si>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</si>
  <si>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</si>
  <si>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</si>
  <si>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</si>
  <si>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</si>
  <si>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</si>
  <si>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</si>
  <si>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</si>
  <si>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</si>
  <si>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</si>
  <si>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</si>
  <si>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</si>
  <si>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</si>
  <si>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</si>
  <si>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</si>
  <si>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</si>
  <si>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</si>
  <si>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</si>
  <si>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</si>
  <si>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</si>
  <si>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</si>
  <si>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</si>
  <si>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</si>
  <si>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</si>
  <si>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</si>
  <si>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</si>
  <si>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</si>
  <si>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</si>
  <si>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</si>
  <si>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</si>
  <si>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</si>
  <si>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</si>
  <si>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</si>
  <si>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</si>
  <si>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</si>
  <si>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</si>
  <si>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</si>
  <si>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</si>
  <si>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</si>
  <si>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</si>
  <si>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</si>
  <si>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</si>
  <si>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</si>
  <si>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</si>
  <si>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</si>
  <si>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</si>
  <si>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</si>
  <si>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</si>
  <si>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</si>
  <si>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</si>
  <si>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</si>
  <si>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</si>
  <si>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</si>
  <si>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</si>
  <si>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</si>
  <si>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</si>
  <si>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</si>
  <si>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</si>
  <si>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</si>
  <si>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</si>
  <si>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</si>
  <si>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</si>
  <si>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</si>
  <si>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</si>
  <si>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</si>
  <si>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</si>
  <si>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</si>
  <si>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</si>
  <si>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</si>
  <si>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</si>
  <si>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</si>
  <si>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</si>
  <si>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</si>
  <si>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</si>
  <si>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</si>
  <si>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</si>
  <si>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</si>
  <si>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</si>
  <si>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</si>
  <si>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</si>
  <si>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</si>
  <si>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</si>
  <si>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</si>
  <si>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</si>
  <si>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</si>
  <si>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</si>
  <si>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</si>
  <si>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</si>
  <si>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</si>
  <si>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</si>
  <si>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</si>
  <si>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</si>
  <si>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</si>
  <si>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</si>
  <si>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</si>
  <si>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</si>
  <si>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</si>
  <si>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</si>
  <si>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</si>
  <si>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</si>
  <si>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</si>
  <si>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</si>
  <si>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</si>
  <si>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</si>
  <si>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</si>
  <si>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</si>
  <si>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</si>
  <si>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</si>
  <si>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</si>
  <si>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</si>
  <si>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</si>
  <si>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</si>
  <si>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</si>
  <si>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</si>
  <si>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</si>
  <si>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</si>
  <si>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</si>
  <si>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</si>
  <si>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</si>
  <si>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</si>
  <si>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</si>
  <si>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</si>
  <si>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</si>
  <si>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</si>
  <si>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</si>
  <si>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</si>
  <si>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</si>
  <si>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</si>
  <si>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</si>
  <si>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</si>
  <si>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</si>
  <si>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</si>
  <si>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</si>
  <si>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</si>
  <si>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</si>
  <si>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</si>
  <si>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</si>
  <si>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</si>
  <si>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</si>
  <si>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</si>
  <si>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</si>
  <si>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</si>
  <si>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</si>
  <si>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</si>
  <si>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</si>
  <si>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</si>
  <si>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</si>
  <si>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</si>
  <si>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</si>
  <si>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</si>
  <si>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</si>
  <si>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</si>
  <si>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</si>
  <si>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</si>
  <si>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</si>
  <si>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</si>
  <si>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</si>
  <si>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</si>
  <si>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</si>
  <si>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</si>
  <si>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</si>
  <si>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</si>
  <si>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</si>
  <si>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</si>
  <si>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</si>
  <si>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</si>
  <si>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</si>
  <si>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</si>
  <si>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</si>
  <si>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</si>
  <si>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</si>
  <si>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</si>
  <si>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</si>
  <si>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</si>
  <si>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</si>
  <si>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</si>
  <si>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</si>
  <si>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</si>
  <si>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</si>
  <si>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</si>
  <si>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</si>
  <si>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</si>
  <si>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</si>
  <si>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</si>
  <si>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</si>
  <si>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</si>
  <si>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</si>
  <si>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</si>
  <si>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pos</t>
    <phoneticPr fontId="1"/>
  </si>
  <si>
    <t>AC_len</t>
    <phoneticPr fontId="1"/>
  </si>
  <si>
    <t>BD_len</t>
    <phoneticPr fontId="1"/>
  </si>
  <si>
    <t>CR</t>
    <phoneticPr fontId="1"/>
  </si>
  <si>
    <t>ratioAC</t>
    <phoneticPr fontId="1"/>
  </si>
  <si>
    <t>ratioBD</t>
    <phoneticPr fontId="1"/>
  </si>
  <si>
    <t>ratioAve</t>
    <phoneticPr fontId="1"/>
  </si>
  <si>
    <t>e941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</si>
</sst>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2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9"/>
      <color theme="1"/>
      <name val="メイリオ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93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177" fontId="11" fillId="7" borderId="0" xfId="0" applyNumberFormat="1" applyFont="1" applyFill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69"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</xdr:row>
          <xdr:rowOff>95250</xdr:rowOff>
        </xdr:from>
        <xdr:to>
          <xdr:col>3</xdr:col>
          <xdr:colOff>647700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topLeftCell="A55" workbookViewId="0">
      <selection activeCell="C105" sqref="C105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>
        <v>2580</v>
      </c>
      <c r="H2" s="9" t="s">
        <v>615</v>
      </c>
      <c r="I2" s="11" t="s">
        <v>75</v>
      </c>
      <c r="J2" s="11" t="str">
        <f>"O" &amp; $C$2</f>
        <v>O2580</v>
      </c>
      <c r="M2" s="3">
        <f t="shared" ref="M2:M97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e00941</v>
      </c>
      <c r="Q2" s="3"/>
      <c r="R2" s="9" t="s">
        <v>43</v>
      </c>
      <c r="S2" s="10" t="e">
        <f>$J$4+P195</f>
        <v>#REF!</v>
      </c>
      <c r="T2" s="10" t="e">
        <f>C118+S2</f>
        <v>#REF!</v>
      </c>
    </row>
    <row r="3" spans="1:20" x14ac:dyDescent="0.4">
      <c r="H3" s="9" t="s">
        <v>616</v>
      </c>
      <c r="I3" s="11" t="s">
        <v>75</v>
      </c>
      <c r="J3" s="11" t="str">
        <f ca="1">TEXT(TODAY(), "yyyymmdd")</f>
        <v>20240802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899.5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399.75</v>
      </c>
      <c r="K4" s="27">
        <f>$C$118+$J$4</f>
        <v>-750.22399999999993</v>
      </c>
      <c r="M4" s="3">
        <f t="shared" si="0"/>
        <v>4</v>
      </c>
      <c r="N4" s="37" t="s">
        <v>274</v>
      </c>
      <c r="O4" s="45" t="s">
        <v>62</v>
      </c>
      <c r="P4" s="2">
        <f>-RADIANS($J$13)</f>
        <v>8.4299402871326114E-3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>
        <v>1</v>
      </c>
      <c r="G5" s="3" t="s">
        <v>96</v>
      </c>
      <c r="H5" s="9" t="s">
        <v>423</v>
      </c>
      <c r="I5" s="11" t="s">
        <v>76</v>
      </c>
      <c r="J5" s="27">
        <f>$P$3-$J$4</f>
        <v>499.75</v>
      </c>
      <c r="K5" s="27">
        <f>$C$118+$J$5</f>
        <v>-650.22399999999993</v>
      </c>
      <c r="M5" s="3">
        <f t="shared" si="0"/>
        <v>5</v>
      </c>
      <c r="N5" s="37" t="s">
        <v>275</v>
      </c>
      <c r="O5" s="45" t="s">
        <v>63</v>
      </c>
      <c r="P5" s="2">
        <f>ASIN($P$30)</f>
        <v>8.4377978104059857E-3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>
        <v>0</v>
      </c>
      <c r="M6" s="3">
        <f t="shared" si="0"/>
        <v>6</v>
      </c>
      <c r="N6" s="37" t="s">
        <v>276</v>
      </c>
      <c r="O6" s="45" t="s">
        <v>139</v>
      </c>
      <c r="P6" s="2">
        <f>DEGREES($P$5)</f>
        <v>0.48345020292099017</v>
      </c>
      <c r="R6" s="15" t="s">
        <v>20</v>
      </c>
      <c r="S6" s="16">
        <f>P190-P191</f>
        <v>5.4157287432262819</v>
      </c>
    </row>
    <row r="7" spans="1:20" x14ac:dyDescent="0.4">
      <c r="A7" s="3" t="s">
        <v>94</v>
      </c>
      <c r="B7" s="12" t="s">
        <v>4</v>
      </c>
      <c r="C7" s="29">
        <v>5922.6750000000002</v>
      </c>
      <c r="H7" s="4" t="s">
        <v>613</v>
      </c>
      <c r="I7" s="6"/>
      <c r="M7" s="3">
        <f t="shared" si="0"/>
        <v>7</v>
      </c>
      <c r="N7" s="37" t="s">
        <v>64</v>
      </c>
      <c r="P7" s="2">
        <f>SIN($P$4)</f>
        <v>8.4298404434246053E-3</v>
      </c>
      <c r="R7" s="15" t="s">
        <v>56</v>
      </c>
      <c r="S7" s="16">
        <f>C116+$P$17/2</f>
        <v>-650.05499999999995</v>
      </c>
    </row>
    <row r="8" spans="1:20" x14ac:dyDescent="0.4">
      <c r="B8" s="12" t="s">
        <v>609</v>
      </c>
      <c r="C8" s="29">
        <v>900</v>
      </c>
      <c r="D8" s="75">
        <v>0</v>
      </c>
      <c r="E8" s="75">
        <v>-1</v>
      </c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>
        <f>COS($P$4)</f>
        <v>0.99996446826379703</v>
      </c>
      <c r="R8" s="9" t="s">
        <v>47</v>
      </c>
      <c r="S8" s="10" t="e">
        <f>-C115+(P32+P33)/2+#REF!/2-P194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>
        <v>400</v>
      </c>
      <c r="F9" s="14"/>
      <c r="G9" s="3" t="s">
        <v>137</v>
      </c>
      <c r="H9" s="9" t="s">
        <v>479</v>
      </c>
      <c r="I9" s="11" t="s">
        <v>76</v>
      </c>
      <c r="J9" s="27">
        <f>$J$4+$P$29*$P$7</f>
        <v>449.70343964602159</v>
      </c>
      <c r="K9" s="27">
        <f>$C$118+$J$9</f>
        <v>-700.27056035397834</v>
      </c>
      <c r="M9" s="3">
        <f t="shared" si="0"/>
        <v>9</v>
      </c>
      <c r="N9" s="3" t="s">
        <v>630</v>
      </c>
      <c r="O9" s="45" t="s">
        <v>631</v>
      </c>
      <c r="P9" s="2">
        <f>$C$11-$J$4</f>
        <v>-399.75</v>
      </c>
      <c r="R9" s="9" t="s">
        <v>11</v>
      </c>
      <c r="S9" s="10" t="e">
        <f>-C115+P31+#REF!/2-P194</f>
        <v>#REF!</v>
      </c>
      <c r="T9" s="10" t="e">
        <f t="shared" si="1"/>
        <v>#REF!</v>
      </c>
    </row>
    <row r="10" spans="1:20" x14ac:dyDescent="0.4">
      <c r="B10" s="12" t="s">
        <v>618</v>
      </c>
      <c r="C10" s="56">
        <v>0</v>
      </c>
      <c r="G10" s="3" t="s">
        <v>138</v>
      </c>
      <c r="H10" s="9" t="s">
        <v>480</v>
      </c>
      <c r="I10" s="11" t="s">
        <v>76</v>
      </c>
      <c r="J10" s="27">
        <f>$J$4+$J$5-$J$9</f>
        <v>449.79656035397841</v>
      </c>
      <c r="K10" s="27">
        <f>$C$118+$J$10</f>
        <v>-700.17743964602153</v>
      </c>
      <c r="M10" s="3">
        <f t="shared" si="0"/>
        <v>10</v>
      </c>
      <c r="N10" s="3" t="s">
        <v>632</v>
      </c>
      <c r="O10" s="45" t="s">
        <v>633</v>
      </c>
      <c r="P10" s="2">
        <f>$P$9/$P$29</f>
        <v>-6.7459393009533561E-2</v>
      </c>
      <c r="R10" s="9" t="s">
        <v>48</v>
      </c>
      <c r="S10" s="10" t="e">
        <f>C115-(P35+P36)/2-#REF!/2+P194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56"/>
      <c r="H11" s="9" t="s">
        <v>481</v>
      </c>
      <c r="I11" s="11" t="s">
        <v>76</v>
      </c>
      <c r="J11" s="27">
        <f>$J$9-$C$112</f>
        <v>119.70343964602159</v>
      </c>
      <c r="M11" s="3">
        <f t="shared" si="0"/>
        <v>11</v>
      </c>
      <c r="N11" s="37" t="s">
        <v>274</v>
      </c>
      <c r="O11" s="45" t="s">
        <v>634</v>
      </c>
      <c r="P11" s="2">
        <f>ASIN($P$10)</f>
        <v>-6.751066343337675E-2</v>
      </c>
      <c r="R11" s="9" t="s">
        <v>14</v>
      </c>
      <c r="S11" s="10" t="e">
        <f>C115-P34-#REF!/2+P194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>
        <f>$J$10-$C$112</f>
        <v>119.79656035397841</v>
      </c>
      <c r="M12" s="3">
        <f t="shared" si="0"/>
        <v>12</v>
      </c>
      <c r="N12" s="37" t="s">
        <v>274</v>
      </c>
      <c r="O12" s="45" t="s">
        <v>635</v>
      </c>
      <c r="P12" s="2">
        <f>DEGREES($P$11)</f>
        <v>-3.8680760868606634</v>
      </c>
      <c r="R12" s="9" t="s">
        <v>55</v>
      </c>
      <c r="S12" s="10" t="e">
        <f>C115-(P35+P36)/2-#REF!/2+P194-#REF!/2-$P$20+$P$18/2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>
        <f>IF($C$6=1,-ROUND($P$12,3),-ROUND($P$6,3))</f>
        <v>-0.48299999999999998</v>
      </c>
      <c r="K13" s="27">
        <f>-$C$119+$J$13</f>
        <v>-0.55599999999999994</v>
      </c>
      <c r="M13" s="3">
        <f t="shared" si="0"/>
        <v>13</v>
      </c>
      <c r="N13" s="37" t="s">
        <v>97</v>
      </c>
      <c r="P13" s="2">
        <f>SQRT($P$14^2-$P$15^2)</f>
        <v>5724.2870871074419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>
        <v>180</v>
      </c>
      <c r="D14" s="75">
        <v>0.25</v>
      </c>
      <c r="E14" s="75">
        <v>-0.25</v>
      </c>
      <c r="G14" s="3" t="s">
        <v>77</v>
      </c>
      <c r="H14" s="9" t="s">
        <v>372</v>
      </c>
      <c r="I14" s="11" t="s">
        <v>77</v>
      </c>
      <c r="J14" s="27">
        <f>180+$J$13</f>
        <v>179.517</v>
      </c>
      <c r="K14" s="27">
        <f>-$C$119+$J$14</f>
        <v>179.44399999999999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5732.6750000000002</v>
      </c>
      <c r="R14" s="9" t="s">
        <v>52</v>
      </c>
      <c r="S14" s="10" t="e">
        <f>-C115+(P32+P33)/2+#REF!/2-P194+#REF!/2+$P$24-$P$22/2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>
        <v>179</v>
      </c>
      <c r="D15" s="75">
        <v>0.25</v>
      </c>
      <c r="E15" s="75">
        <v>-0.25</v>
      </c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1.8385581223938061</v>
      </c>
    </row>
    <row r="16" spans="1:20" x14ac:dyDescent="0.4">
      <c r="B16" s="12" t="s">
        <v>487</v>
      </c>
      <c r="C16" s="13">
        <v>18</v>
      </c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180</v>
      </c>
      <c r="R16" s="10" t="s">
        <v>40</v>
      </c>
      <c r="S16" s="16">
        <f>$J$195+$J$196/2</f>
        <v>28.174999999999997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>
        <f>$P$29*$P$8-$P$38</f>
        <v>24.028347295468848</v>
      </c>
      <c r="K17" s="27">
        <f>$C$117+$J$17</f>
        <v>-525.99065270453116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179</v>
      </c>
      <c r="R17" s="10" t="s">
        <v>42</v>
      </c>
      <c r="S17" s="10" t="e">
        <f>P46-C115+#REF!/2-P194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>
        <f ca="1">$J$17-$P$60-$P$115/2-$C$19-$P$20+$P$18/2</f>
        <v>-53.408971921176565</v>
      </c>
      <c r="K18" s="27">
        <f ca="1">$C$117+$J$18</f>
        <v>-603.42797192117655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>
        <v>7.0000000000000007E-2</v>
      </c>
      <c r="G19" s="3" t="s">
        <v>461</v>
      </c>
      <c r="H19" s="9" t="s">
        <v>486</v>
      </c>
      <c r="I19" s="11" t="s">
        <v>79</v>
      </c>
      <c r="J19" s="27">
        <f ca="1">$J$23+$C$44</f>
        <v>62.100209685232308</v>
      </c>
      <c r="K19" s="27">
        <f ca="1">$C$117+$J$23</f>
        <v>-487.9187903147677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P47-$J$106-$J$186/2+P196-P29</f>
        <v>#REF!</v>
      </c>
      <c r="T19" s="10" t="e">
        <f>$C$117+S19</f>
        <v>#REF!</v>
      </c>
    </row>
    <row r="20" spans="1:20" x14ac:dyDescent="0.4">
      <c r="B20" s="12" t="s">
        <v>134</v>
      </c>
      <c r="C20" s="35" t="s">
        <v>667</v>
      </c>
      <c r="D20" s="75">
        <v>0.25</v>
      </c>
      <c r="E20" s="75">
        <v>-0.25</v>
      </c>
      <c r="G20" s="3" t="s">
        <v>463</v>
      </c>
      <c r="H20" s="9" t="s">
        <v>351</v>
      </c>
      <c r="I20" s="11" t="s">
        <v>79</v>
      </c>
      <c r="J20" s="27">
        <f>$P$29*$P$8-$P$34</f>
        <v>24.023425046341799</v>
      </c>
      <c r="K20" s="27">
        <f>$C$117+$J$20</f>
        <v>-525.99557495365821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>
        <f>$P$37-$P$29*$P$8</f>
        <v>-16.410601288787802</v>
      </c>
      <c r="K21" s="27">
        <f>$C$117+$J$21</f>
        <v>-566.42960128878781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>
        <f>$C$64/$C$63+1</f>
        <v>7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>
        <f ca="1">-$J$18+$C$44</f>
        <v>53.408971921176565</v>
      </c>
      <c r="K22" s="27">
        <f ca="1">$C$117+$J$22</f>
        <v>-496.61002807882346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>
        <f>$C$65/$C$63+1</f>
        <v>6</v>
      </c>
    </row>
    <row r="23" spans="1:20" ht="15" thickBot="1" x14ac:dyDescent="0.45">
      <c r="B23" s="84" t="s">
        <v>318</v>
      </c>
      <c r="C23" s="85">
        <v>0</v>
      </c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>
        <f ca="1">$J$21+$P$63+$P$112/2+$C$19+$P$24-$P$22/2</f>
        <v>62.100209685232308</v>
      </c>
      <c r="K23" s="27">
        <f ca="1">$C$117+$J$23</f>
        <v>-487.9187903147677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>
        <f ca="1">DEGREES($P$88)</f>
        <v>286.47889756541161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>
        <f>$P$31-$P$29*$P$8</f>
        <v>-16.407464003218593</v>
      </c>
      <c r="K24" s="27">
        <f>$C$117+$J$24</f>
        <v>-566.4264640032186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 ca="1">S9*$P$135+S2*$P$96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>
        <f>$P$47-$P$57-$J$186/2-$P$29*$P$8</f>
        <v>-11.575758991481962</v>
      </c>
      <c r="K25" s="27">
        <f>$C$117+$J$25</f>
        <v>-561.59475899148197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 ca="1">-S$9*$P$96+S$2*$P$135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>
        <f>$J$24+$P$45</f>
        <v>-14.568905880824786</v>
      </c>
      <c r="K26" s="27">
        <f>$C$117+$J$26</f>
        <v>-564.58790588082479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5832.6750000000002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179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6012.6750000000002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50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>
        <f>$C$115+$P$13</f>
        <v>5925.7870871074419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>
        <f>$P$28/$P$29</f>
        <v>8.4376976872462244E-3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180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5909.169069600649</v>
      </c>
    </row>
    <row r="32" spans="1:20" ht="15" thickBot="1" x14ac:dyDescent="0.45">
      <c r="B32" s="84" t="s">
        <v>319</v>
      </c>
      <c r="C32" s="85">
        <v>0</v>
      </c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5999.3716831952497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>
        <f ca="1">$P$115</f>
        <v>154.65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5818.9601814349098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>
        <f>$J$10</f>
        <v>449.79656035397841</v>
      </c>
      <c r="K34" s="27">
        <f>$C$118+$J$34</f>
        <v>-700.17743964602153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5901.5531085575258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499.75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5991.8703751937928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5811.2259974230055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cm="1">
        <f t="array" ref="J37">_xlfn.IFS($C$77=1, $C$78, $C$81=1, $C$82)</f>
        <v>0.5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5909.1659323150798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5922.6750000000002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5901.5481863083987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7.0000000000000007E-2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28.174999999999997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371.57499999999999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32.200000000000003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367.55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179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375.6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>
        <f>$J$10</f>
        <v>449.79656035397841</v>
      </c>
      <c r="K44" s="27">
        <f>$C$118+$J$44</f>
        <v>-700.17743964602153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1.8109231749313039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1.8385581223938061</v>
      </c>
    </row>
    <row r="46" spans="2:18" x14ac:dyDescent="0.4">
      <c r="B46" s="22" t="s">
        <v>72</v>
      </c>
      <c r="C46" s="52">
        <v>3</v>
      </c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5911.0076277230428</v>
      </c>
    </row>
    <row r="47" spans="2:18" x14ac:dyDescent="0.4">
      <c r="B47" s="12" t="s">
        <v>573</v>
      </c>
      <c r="C47" s="52">
        <v>0</v>
      </c>
      <c r="F47" s="2"/>
      <c r="G47" s="3" t="s">
        <v>484</v>
      </c>
      <c r="H47" s="9" t="s">
        <v>374</v>
      </c>
      <c r="I47" s="11" t="s">
        <v>75</v>
      </c>
      <c r="J47" s="57">
        <f>IF(OR($C$77&lt;&gt;0, $C$81&lt;&gt;0), $C$150, "")</f>
        <v>130001</v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6001.182606370181</v>
      </c>
    </row>
    <row r="48" spans="2:18" x14ac:dyDescent="0.4">
      <c r="B48" s="12" t="s">
        <v>32</v>
      </c>
      <c r="C48" s="13">
        <v>174.36</v>
      </c>
      <c r="D48" s="75">
        <v>0.1</v>
      </c>
      <c r="E48" s="75">
        <v>-0.1</v>
      </c>
      <c r="F48" s="2"/>
      <c r="G48" s="3" t="s">
        <v>79</v>
      </c>
      <c r="H48" s="9" t="s">
        <v>84</v>
      </c>
      <c r="I48" s="11" t="s">
        <v>79</v>
      </c>
      <c r="J48" s="27">
        <f ca="1">INDEX(INDIRECT($P$2&amp;"!B:B"), MATCH(ROUND($J$4+$J$5, 0), INDIRECT($P$2&amp;"!A:A"), 0))</f>
        <v>154.65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5820.8272328767835</v>
      </c>
    </row>
    <row r="49" spans="1:16" x14ac:dyDescent="0.4">
      <c r="B49" s="12" t="s">
        <v>459</v>
      </c>
      <c r="C49" s="13">
        <v>173</v>
      </c>
      <c r="D49" s="75">
        <v>0.1</v>
      </c>
      <c r="E49" s="75">
        <v>-0.1</v>
      </c>
      <c r="G49" s="3" t="s">
        <v>76</v>
      </c>
      <c r="H49" s="9" t="s">
        <v>424</v>
      </c>
      <c r="I49" s="11" t="s">
        <v>76</v>
      </c>
      <c r="J49" s="27">
        <f>$J$10</f>
        <v>449.79656035397841</v>
      </c>
      <c r="K49" s="27">
        <f>$C$118+$J$49</f>
        <v>-700.17743964602153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6001.4304672407061</v>
      </c>
    </row>
    <row r="50" spans="1:16" x14ac:dyDescent="0.4">
      <c r="A50" s="3" t="s">
        <v>302</v>
      </c>
      <c r="B50" s="12" t="s">
        <v>30</v>
      </c>
      <c r="C50" s="13">
        <v>24</v>
      </c>
      <c r="D50" s="75">
        <v>0.3</v>
      </c>
      <c r="E50" s="75">
        <v>0</v>
      </c>
      <c r="G50" s="3" t="s">
        <v>466</v>
      </c>
      <c r="H50" s="9" t="s">
        <v>423</v>
      </c>
      <c r="I50" s="11" t="s">
        <v>76</v>
      </c>
      <c r="J50" s="27">
        <f>$J$5</f>
        <v>499.75</v>
      </c>
      <c r="K50" s="27">
        <f>$C$118+$J$50</f>
        <v>-650.22399999999993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6000.93203557789</v>
      </c>
    </row>
    <row r="51" spans="1:16" x14ac:dyDescent="0.4">
      <c r="A51" s="3" t="s">
        <v>303</v>
      </c>
      <c r="B51" s="12" t="s">
        <v>31</v>
      </c>
      <c r="C51" s="13">
        <v>8</v>
      </c>
      <c r="D51" s="75">
        <v>0.1</v>
      </c>
      <c r="E51" s="75">
        <v>0</v>
      </c>
      <c r="G51" s="3" t="s">
        <v>469</v>
      </c>
      <c r="H51" s="9" t="s">
        <v>4</v>
      </c>
      <c r="I51" s="11" t="s">
        <v>75</v>
      </c>
      <c r="J51" s="27">
        <f>$C$7</f>
        <v>5922.6750000000002</v>
      </c>
      <c r="M51" s="3">
        <f t="shared" si="0"/>
        <v>51</v>
      </c>
      <c r="N51" s="37" t="s">
        <v>304</v>
      </c>
      <c r="O51" s="45" t="s">
        <v>306</v>
      </c>
      <c r="P51" s="2">
        <f>($P$49-$P$50)/$J$196</f>
        <v>6.1916976747338391E-2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7.0000000000000007E-2</v>
      </c>
      <c r="K52" s="5"/>
      <c r="M52" s="3">
        <f t="shared" si="0"/>
        <v>52</v>
      </c>
      <c r="N52" s="37" t="s">
        <v>305</v>
      </c>
      <c r="O52" s="45" t="s">
        <v>307</v>
      </c>
      <c r="P52" s="2">
        <f>SIN(ATAN($P$51))</f>
        <v>6.1798630987830311E-2</v>
      </c>
    </row>
    <row r="53" spans="1:16" x14ac:dyDescent="0.4">
      <c r="B53" s="12" t="s">
        <v>645</v>
      </c>
      <c r="C53" s="29">
        <v>3</v>
      </c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>
        <f>COS(ATAN($P$51))</f>
        <v>0.99808863795157488</v>
      </c>
    </row>
    <row r="54" spans="1:16" x14ac:dyDescent="0.4">
      <c r="B54" s="12" t="s">
        <v>647</v>
      </c>
      <c r="C54" s="29">
        <v>3</v>
      </c>
      <c r="H54" s="4" t="s">
        <v>434</v>
      </c>
      <c r="I54" s="6"/>
      <c r="J54" s="5"/>
      <c r="M54" s="3">
        <f t="shared" si="0"/>
        <v>54</v>
      </c>
      <c r="N54" s="37" t="s">
        <v>315</v>
      </c>
      <c r="P54" s="2">
        <f>2*$P$53/(1+$P$53^2)</f>
        <v>0.99999816985282908</v>
      </c>
    </row>
    <row r="55" spans="1:16" x14ac:dyDescent="0.4">
      <c r="B55" s="12" t="s">
        <v>646</v>
      </c>
      <c r="C55" s="86">
        <v>3</v>
      </c>
      <c r="G55" s="3" t="s">
        <v>484</v>
      </c>
      <c r="H55" s="9" t="s">
        <v>374</v>
      </c>
      <c r="I55" s="11" t="s">
        <v>75</v>
      </c>
      <c r="J55" s="57">
        <f>IF(OR($C$77&lt;&gt;0, $C$81&lt;&gt;0), $C$151, "")</f>
        <v>130002</v>
      </c>
      <c r="M55" s="3">
        <f>ROW(M55)</f>
        <v>55</v>
      </c>
      <c r="N55" s="37" t="s">
        <v>310</v>
      </c>
      <c r="O55" s="45" t="s">
        <v>317</v>
      </c>
      <c r="P55" s="2">
        <f>$P$47-$P$50</f>
        <v>0.25057079229100054</v>
      </c>
    </row>
    <row r="56" spans="1:16" x14ac:dyDescent="0.4">
      <c r="B56" s="12" t="s">
        <v>648</v>
      </c>
      <c r="C56" s="86">
        <v>3</v>
      </c>
      <c r="G56" s="3" t="s">
        <v>78</v>
      </c>
      <c r="H56" s="9" t="s">
        <v>435</v>
      </c>
      <c r="I56" s="11" t="s">
        <v>78</v>
      </c>
      <c r="J56" s="27">
        <f ca="1">$P$116</f>
        <v>153.65</v>
      </c>
      <c r="M56" s="3">
        <f t="shared" si="0"/>
        <v>56</v>
      </c>
      <c r="N56" s="37" t="s">
        <v>311</v>
      </c>
      <c r="P56" s="2">
        <f>$J$196*$P$52/2</f>
        <v>0.24873948972601703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>
        <f>$J$10</f>
        <v>449.79656035397841</v>
      </c>
      <c r="K57" s="27">
        <f>$C$118+$J$57</f>
        <v>-700.17743964602153</v>
      </c>
      <c r="M57" s="3">
        <f t="shared" si="0"/>
        <v>57</v>
      </c>
      <c r="N57" s="37" t="s">
        <v>312</v>
      </c>
      <c r="O57" s="45" t="s">
        <v>314</v>
      </c>
      <c r="P57" s="2">
        <f>$P$54*($J$106-$P$56)+$P$55</f>
        <v>1.8317577948569197E-3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7.0000000000000007E-2</v>
      </c>
      <c r="K58" s="5"/>
      <c r="M58" s="3">
        <f t="shared" si="0"/>
        <v>58</v>
      </c>
      <c r="N58" s="37" t="s">
        <v>639</v>
      </c>
      <c r="O58" s="45" t="s">
        <v>279</v>
      </c>
      <c r="P58" s="2">
        <f>$J$5-$C$78</f>
        <v>499.25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640</v>
      </c>
      <c r="O59" s="45" t="s">
        <v>280</v>
      </c>
      <c r="P59" s="2">
        <f>SQRT($C$7^2-$P$58^2)</f>
        <v>5901.5954277741712</v>
      </c>
    </row>
    <row r="60" spans="1:16" x14ac:dyDescent="0.4">
      <c r="B60" s="22" t="s">
        <v>383</v>
      </c>
      <c r="C60" s="71">
        <v>1</v>
      </c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641</v>
      </c>
      <c r="P60" s="2">
        <f>P59-P34</f>
        <v>4.2319216645410052E-2</v>
      </c>
    </row>
    <row r="61" spans="1:16" x14ac:dyDescent="0.4">
      <c r="A61" s="3" t="s">
        <v>83</v>
      </c>
      <c r="B61" s="12" t="s">
        <v>387</v>
      </c>
      <c r="C61" s="13">
        <v>130</v>
      </c>
      <c r="J61" s="5"/>
      <c r="K61" s="5"/>
      <c r="M61" s="3">
        <f t="shared" si="0"/>
        <v>61</v>
      </c>
      <c r="N61" s="37" t="s">
        <v>642</v>
      </c>
      <c r="O61" s="45" t="s">
        <v>555</v>
      </c>
      <c r="P61" s="2">
        <f>$J$4-$C$92</f>
        <v>399.25</v>
      </c>
    </row>
    <row r="62" spans="1:16" x14ac:dyDescent="0.4">
      <c r="A62" s="3" t="s">
        <v>110</v>
      </c>
      <c r="B62" s="12" t="s">
        <v>388</v>
      </c>
      <c r="C62" s="13">
        <v>20</v>
      </c>
      <c r="H62" s="4" t="s">
        <v>436</v>
      </c>
      <c r="I62" s="6"/>
      <c r="J62" s="5"/>
      <c r="M62" s="3">
        <f t="shared" si="0"/>
        <v>62</v>
      </c>
      <c r="N62" s="37" t="s">
        <v>643</v>
      </c>
      <c r="O62" s="45" t="s">
        <v>556</v>
      </c>
      <c r="P62" s="2">
        <f>SQRT($C$7^2-$P$61^2)</f>
        <v>5909.2028729029944</v>
      </c>
    </row>
    <row r="63" spans="1:16" x14ac:dyDescent="0.4">
      <c r="A63" s="3" t="s">
        <v>111</v>
      </c>
      <c r="B63" s="12" t="s">
        <v>389</v>
      </c>
      <c r="C63" s="13">
        <v>17</v>
      </c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644</v>
      </c>
      <c r="P63" s="2">
        <f>P62-P31</f>
        <v>3.3803302345404518E-2</v>
      </c>
    </row>
    <row r="64" spans="1:16" x14ac:dyDescent="0.4">
      <c r="A64" s="3" t="s">
        <v>209</v>
      </c>
      <c r="B64" s="12" t="s">
        <v>391</v>
      </c>
      <c r="C64" s="13">
        <v>102</v>
      </c>
      <c r="G64" s="3" t="s">
        <v>79</v>
      </c>
      <c r="H64" s="9" t="s">
        <v>57</v>
      </c>
      <c r="I64" s="11" t="s">
        <v>79</v>
      </c>
      <c r="J64" s="27">
        <f>$P$16</f>
        <v>180</v>
      </c>
      <c r="M64" s="3">
        <f t="shared" si="0"/>
        <v>64</v>
      </c>
      <c r="N64" s="37" t="s">
        <v>112</v>
      </c>
      <c r="O64" s="45" t="str">
        <f>IF($C$66&gt;=3, "振分中心-ディンプル1列目間距離", "-")</f>
        <v>振分中心-ディンプル1列目間距離</v>
      </c>
      <c r="P64" s="36">
        <f>$J$4-$C$61</f>
        <v>269.75</v>
      </c>
    </row>
    <row r="65" spans="1:16" x14ac:dyDescent="0.4">
      <c r="A65" s="3" t="s">
        <v>210</v>
      </c>
      <c r="B65" s="12" t="s">
        <v>392</v>
      </c>
      <c r="C65" s="13">
        <v>85</v>
      </c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140</v>
      </c>
      <c r="O65" s="45" t="str">
        <f>IF($C$66&gt;=4, "振分中心-ディンプル2列目間距離", "-")</f>
        <v>振分中心-ディンプル2列目間距離</v>
      </c>
      <c r="P65" s="36">
        <f>IF($C$66&gt;=4,$P$64-1*$C$62, "-")</f>
        <v>249.75</v>
      </c>
    </row>
    <row r="66" spans="1:16" x14ac:dyDescent="0.4">
      <c r="A66" s="3" t="s">
        <v>87</v>
      </c>
      <c r="B66" s="12" t="s">
        <v>393</v>
      </c>
      <c r="C66" s="51">
        <v>6</v>
      </c>
      <c r="G66" s="3" t="s">
        <v>471</v>
      </c>
      <c r="H66" s="9" t="s">
        <v>82</v>
      </c>
      <c r="I66" s="11" t="s">
        <v>79</v>
      </c>
      <c r="J66" s="27">
        <f ca="1">$P$112</f>
        <v>156.81401534334941</v>
      </c>
      <c r="L66" s="3"/>
      <c r="M66" s="3">
        <f t="shared" si="0"/>
        <v>66</v>
      </c>
      <c r="N66" s="37" t="s">
        <v>141</v>
      </c>
      <c r="O66" s="45" t="str">
        <f>IF($C$66&gt;=5, "振分中心-ディンプル3列目間距離", "-")</f>
        <v>振分中心-ディンプル3列目間距離</v>
      </c>
      <c r="P66" s="36">
        <f>IF($C$66&gt;=5,$P$64-2*$C$62, "-")</f>
        <v>229.75</v>
      </c>
    </row>
    <row r="67" spans="1:16" x14ac:dyDescent="0.4">
      <c r="B67" s="12" t="s">
        <v>394</v>
      </c>
      <c r="C67" s="53">
        <v>0.31</v>
      </c>
      <c r="G67" s="3" t="s">
        <v>76</v>
      </c>
      <c r="H67" s="9" t="s">
        <v>438</v>
      </c>
      <c r="I67" s="11" t="s">
        <v>76</v>
      </c>
      <c r="J67" s="27">
        <f>$J$9</f>
        <v>449.70343964602159</v>
      </c>
      <c r="K67" s="27">
        <f>$C$118+$J$67</f>
        <v>-700.27056035397834</v>
      </c>
      <c r="M67" s="3">
        <f t="shared" si="0"/>
        <v>67</v>
      </c>
      <c r="N67" s="37" t="s">
        <v>142</v>
      </c>
      <c r="O67" s="45" t="str">
        <f>IF($C$66&gt;=6, "振分中心-ディンプル4列目間距離", "-")</f>
        <v>振分中心-ディンプル4列目間距離</v>
      </c>
      <c r="P67" s="36">
        <f>IF($C$66&gt;=6,$P$64-3*$C$62, "-")</f>
        <v>209.75</v>
      </c>
    </row>
    <row r="68" spans="1:16" x14ac:dyDescent="0.4">
      <c r="B68" s="12" t="s">
        <v>453</v>
      </c>
      <c r="C68" s="59">
        <v>20</v>
      </c>
      <c r="G68" s="3" t="s">
        <v>466</v>
      </c>
      <c r="H68" s="9" t="s">
        <v>439</v>
      </c>
      <c r="I68" s="11" t="s">
        <v>76</v>
      </c>
      <c r="J68" s="27">
        <f>$J$4</f>
        <v>399.75</v>
      </c>
      <c r="K68" s="44"/>
      <c r="M68" s="3">
        <f t="shared" si="0"/>
        <v>68</v>
      </c>
      <c r="N68" s="37" t="s">
        <v>144</v>
      </c>
      <c r="O68" s="45" t="str">
        <f>IF($C$66&gt;=7, "振分中心-ディンプル5列目間距離", "-")</f>
        <v>-</v>
      </c>
      <c r="P68" s="36" t="str">
        <f>IF($C$66&gt;=7,$P$64-4*$C$62,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143</v>
      </c>
      <c r="O69" s="45" t="str">
        <f>IF($C$66&gt;=8, "振分中心-ディンプル6列目間距離", "-")</f>
        <v>-</v>
      </c>
      <c r="P69" s="36" t="str">
        <f>IF($C$66&gt;=8,$P$64-5*$C$62, "-")</f>
        <v>-</v>
      </c>
    </row>
    <row r="70" spans="1:16" x14ac:dyDescent="0.4">
      <c r="B70" s="4" t="s">
        <v>330</v>
      </c>
      <c r="C70" s="52">
        <v>1</v>
      </c>
      <c r="G70" s="3" t="s">
        <v>468</v>
      </c>
      <c r="H70" s="9" t="s">
        <v>441</v>
      </c>
      <c r="I70" s="11" t="s">
        <v>76</v>
      </c>
      <c r="J70" s="27" cm="1">
        <f t="array" ref="J70">_xlfn.IFS($C$91=1, $C$92, $C$95=1, $C$96)</f>
        <v>0.5</v>
      </c>
      <c r="M70" s="3">
        <f t="shared" si="0"/>
        <v>70</v>
      </c>
      <c r="N70" s="37" t="s">
        <v>116</v>
      </c>
      <c r="O70" s="45" t="s">
        <v>396</v>
      </c>
      <c r="P70" s="36">
        <f>$P$64-($C$66-2)*$C$62</f>
        <v>189.75</v>
      </c>
    </row>
    <row r="71" spans="1:16" x14ac:dyDescent="0.4">
      <c r="B71" s="12" t="s">
        <v>340</v>
      </c>
      <c r="C71" s="13">
        <v>0.5</v>
      </c>
      <c r="G71" s="3" t="s">
        <v>469</v>
      </c>
      <c r="H71" s="9" t="s">
        <v>4</v>
      </c>
      <c r="I71" s="11" t="s">
        <v>75</v>
      </c>
      <c r="J71" s="27">
        <f>$C$7</f>
        <v>5922.6750000000002</v>
      </c>
      <c r="M71" s="3">
        <f t="shared" si="0"/>
        <v>71</v>
      </c>
      <c r="N71" s="37" t="s">
        <v>115</v>
      </c>
      <c r="O71" s="45" t="s">
        <v>397</v>
      </c>
      <c r="P71" s="36">
        <f>$P$64-($C$66-1)*$C$62</f>
        <v>169.75</v>
      </c>
    </row>
    <row r="72" spans="1:16" x14ac:dyDescent="0.4">
      <c r="B72" s="12" t="s">
        <v>341</v>
      </c>
      <c r="C72" s="52">
        <v>45</v>
      </c>
      <c r="G72" s="3" t="s">
        <v>470</v>
      </c>
      <c r="H72" s="9" t="s">
        <v>30</v>
      </c>
      <c r="I72" s="11" t="s">
        <v>76</v>
      </c>
      <c r="J72" s="27">
        <f>$J$195</f>
        <v>24.15</v>
      </c>
      <c r="K72" s="60"/>
      <c r="M72" s="3">
        <f t="shared" si="0"/>
        <v>72</v>
      </c>
      <c r="N72" s="37" t="s">
        <v>113</v>
      </c>
      <c r="O72" s="45" t="str">
        <f>IF($C$66&gt;=3,"λj ≦ q &lt; λj+1 の λj", "-")</f>
        <v>λj ≦ q &lt; λj+1 の λj</v>
      </c>
      <c r="P72" s="36">
        <f ca="1">IF($C$66&gt;=3,LOOKUP($C$61,INDIRECT($P$2&amp;"!$A:$A")),"-")</f>
        <v>125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8.0500000000000007</v>
      </c>
      <c r="K73" s="60"/>
      <c r="M73" s="3">
        <f t="shared" si="0"/>
        <v>73</v>
      </c>
      <c r="N73" s="37" t="s">
        <v>145</v>
      </c>
      <c r="O73" s="45" t="str">
        <f>IF($C$66&gt;=4,"λj ≦ q+pz &lt; λj+1 の λj", "-")</f>
        <v>λj ≦ q+pz &lt; λj+1 の λj</v>
      </c>
      <c r="P73" s="36">
        <f ca="1">IF($C$66&gt;=4,LOOKUP($C$61+$C$62, INDIRECT($P$2&amp;"!$A:$A")),"-")</f>
        <v>150</v>
      </c>
    </row>
    <row r="74" spans="1:16" x14ac:dyDescent="0.4">
      <c r="B74" s="4" t="s">
        <v>339</v>
      </c>
      <c r="C74" s="52">
        <v>0</v>
      </c>
      <c r="G74" s="3" t="s">
        <v>470</v>
      </c>
      <c r="H74" s="9" t="s">
        <v>429</v>
      </c>
      <c r="I74" s="11" t="s">
        <v>75</v>
      </c>
      <c r="J74" s="42">
        <f>$C$19</f>
        <v>7.0000000000000007E-2</v>
      </c>
      <c r="K74" s="5"/>
      <c r="M74" s="3">
        <f t="shared" si="0"/>
        <v>74</v>
      </c>
      <c r="N74" s="37" t="s">
        <v>147</v>
      </c>
      <c r="O74" s="45" t="str">
        <f>IF($C$66&gt;=5,"λj ≦ q+2pz &lt; λj+1 の λj", "-")</f>
        <v>λj ≦ q+2pz &lt; λj+1 の λj</v>
      </c>
      <c r="P74" s="36">
        <f ca="1">IF($C$66&gt;=5,LOOKUP($C$61+2*$C$62, INDIRECT($P$2&amp;"!$A:$A")),"-")</f>
        <v>150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149</v>
      </c>
      <c r="O75" s="45" t="str">
        <f>IF($C$66&gt;=6,"λj ≦ q+3pz &lt; λj+1 の λj", "-")</f>
        <v>λj ≦ q+3pz &lt; λj+1 の λj</v>
      </c>
      <c r="P75" s="36">
        <f ca="1">IF($C$66&gt;=6,LOOKUP($C$61+3*$C$62, INDIRECT($P$2&amp;"!$A:$A")),"-")</f>
        <v>175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150</v>
      </c>
      <c r="O76" s="45" t="str">
        <f>IF($C$66&gt;=7,"λj ≦ q+4pz &lt; λj+1 の λj", "-")</f>
        <v>-</v>
      </c>
      <c r="P76" s="36" t="str">
        <f ca="1">IF($C$66&gt;=7,LOOKUP($C$61+4*$C$62, INDIRECT($P$2&amp;"!$A:$A")),"-")</f>
        <v>-</v>
      </c>
    </row>
    <row r="77" spans="1:16" x14ac:dyDescent="0.4">
      <c r="B77" s="4" t="s">
        <v>331</v>
      </c>
      <c r="C77" s="52">
        <v>1</v>
      </c>
      <c r="J77" s="5"/>
      <c r="K77" s="5"/>
      <c r="M77" s="3">
        <f t="shared" si="0"/>
        <v>77</v>
      </c>
      <c r="N77" s="37" t="s">
        <v>151</v>
      </c>
      <c r="O77" s="45" t="str">
        <f>IF($C$66&gt;=8,"λj ≦ q+5pz &lt; λj+1 の λj", "-")</f>
        <v>-</v>
      </c>
      <c r="P77" s="36" t="str">
        <f ca="1">IF($C$66&gt;=8,LOOKUP($C$61+5*$C$62, INDIRECT($P$2&amp;"!$A:$A")),"-")</f>
        <v>-</v>
      </c>
    </row>
    <row r="78" spans="1:16" x14ac:dyDescent="0.4">
      <c r="B78" s="12" t="s">
        <v>344</v>
      </c>
      <c r="C78" s="13">
        <v>0.5</v>
      </c>
      <c r="H78" s="4" t="s">
        <v>442</v>
      </c>
      <c r="I78" s="6"/>
      <c r="J78" s="5"/>
      <c r="M78" s="3">
        <f t="shared" si="0"/>
        <v>78</v>
      </c>
      <c r="N78" s="37" t="s">
        <v>153</v>
      </c>
      <c r="O78" s="45" t="s">
        <v>155</v>
      </c>
      <c r="P78" s="2">
        <f ca="1">LOOKUP($C$61+($C$66-2)*$C$62, INDIRECT($P$2&amp;"!$A:$A"))</f>
        <v>200</v>
      </c>
    </row>
    <row r="79" spans="1:16" x14ac:dyDescent="0.4">
      <c r="B79" s="12" t="s">
        <v>345</v>
      </c>
      <c r="C79" s="52">
        <v>45</v>
      </c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152</v>
      </c>
      <c r="O79" s="45" t="s">
        <v>154</v>
      </c>
      <c r="P79" s="2">
        <f ca="1">LOOKUP($C$61+($C$66-1)*$C$62, INDIRECT($P$2&amp;"!$A:$A"))</f>
        <v>225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179</v>
      </c>
      <c r="M80" s="3">
        <f t="shared" si="0"/>
        <v>80</v>
      </c>
      <c r="N80" s="37" t="s">
        <v>114</v>
      </c>
      <c r="O80" s="45" t="str">
        <f>IF($C$66&gt;=3,"λj ≦ q &lt; λj+1 の λj+1", "-")</f>
        <v>λj ≦ q &lt; λj+1 の λj+1</v>
      </c>
      <c r="P80" s="2" cm="1">
        <f t="array" aca="1" ref="P80" ca="1">IF($C$66&gt;=3, INDEX(INDIRECT($P$2&amp;"!$A:$A"), MATCH($P72, INDIRECT($P$2&amp;"!$A:$A"), 0) +1),"-")</f>
        <v>150</v>
      </c>
    </row>
    <row r="81" spans="2:16" x14ac:dyDescent="0.4">
      <c r="B81" s="4" t="s">
        <v>342</v>
      </c>
      <c r="C81" s="52">
        <v>0</v>
      </c>
      <c r="G81" s="3" t="s">
        <v>76</v>
      </c>
      <c r="H81" s="9" t="s">
        <v>438</v>
      </c>
      <c r="I81" s="11" t="s">
        <v>76</v>
      </c>
      <c r="J81" s="27">
        <f>$J$9</f>
        <v>449.70343964602159</v>
      </c>
      <c r="K81" s="27">
        <f>$C$118+$J$81</f>
        <v>-700.27056035397834</v>
      </c>
      <c r="M81" s="3">
        <f t="shared" si="0"/>
        <v>81</v>
      </c>
      <c r="N81" s="37" t="s">
        <v>146</v>
      </c>
      <c r="O81" s="45" t="str">
        <f>IF($C$66&gt;=4,"λj ≦ q+pz &lt; λj+1 の λj+1", "-")</f>
        <v>λj ≦ q+pz &lt; λj+1 の λj+1</v>
      </c>
      <c r="P81" s="36" cm="1">
        <f t="array" aca="1" ref="P81" ca="1">IF($C$66&gt;=4, INDEX(INDIRECT($P$2&amp;"!$A:$A"), MATCH($P73, INDIRECT($P$2&amp;"!$A:$A"), 0) +1),"-")</f>
        <v>175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148</v>
      </c>
      <c r="O82" s="45" t="str">
        <f>IF($C$66&gt;=5,"λj ≦ q+2pz &lt; λj+1 の λj+1", "-")</f>
        <v>λj ≦ q+2pz &lt; λj+1 の λj+1</v>
      </c>
      <c r="P82" s="36" cm="1">
        <f t="array" aca="1" ref="P82" ca="1">IF($C$66&gt;=5, INDEX(INDIRECT($P$2&amp;"!$A:$A"), MATCH($P74, INDIRECT($P$2&amp;"!$A:$A"), 0) +1),"-")</f>
        <v>175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156</v>
      </c>
      <c r="O83" s="45" t="str">
        <f>IF($C$66&gt;=6,"λj ≦ q+3pz &lt; λj+1 の λj+1", "-")</f>
        <v>λj ≦ q+3pz &lt; λj+1 の λj+1</v>
      </c>
      <c r="P83" s="36" cm="1">
        <f t="array" aca="1" ref="P83" ca="1">IF($C$66&gt;=6, INDEX(INDIRECT($P$2&amp;"!$A:$A"), MATCH($P75, INDIRECT($P$2&amp;"!$A:$A"), 0) +1),"-")</f>
        <v>200</v>
      </c>
    </row>
    <row r="84" spans="2:16" x14ac:dyDescent="0.4">
      <c r="B84" s="4" t="s">
        <v>332</v>
      </c>
      <c r="C84" s="52">
        <v>1</v>
      </c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157</v>
      </c>
      <c r="O84" s="45" t="str">
        <f>IF($C$66&gt;=7,"λj ≦ q+4pz &lt; λj+1 の λj+1", "-")</f>
        <v>-</v>
      </c>
      <c r="P84" s="36" t="str" cm="1">
        <f t="array" aca="1" ref="P84" ca="1">IF($C$66&gt;=7, INDEX(INDIRECT($P$2&amp;"!$A:$A"), MATCH($P76, INDIRECT($P$2&amp;"!$A:$A"), 0) +1),"-")</f>
        <v>-</v>
      </c>
    </row>
    <row r="85" spans="2:16" x14ac:dyDescent="0.4">
      <c r="B85" s="12" t="s">
        <v>353</v>
      </c>
      <c r="C85" s="13">
        <v>5</v>
      </c>
      <c r="G85" s="3" t="s">
        <v>79</v>
      </c>
      <c r="H85" s="9" t="s">
        <v>82</v>
      </c>
      <c r="I85" s="11" t="s">
        <v>79</v>
      </c>
      <c r="J85" s="27">
        <f ca="1">$P$112</f>
        <v>156.81401534334941</v>
      </c>
      <c r="M85" s="3">
        <f t="shared" si="0"/>
        <v>85</v>
      </c>
      <c r="N85" s="37" t="s">
        <v>158</v>
      </c>
      <c r="O85" s="45" t="str">
        <f>IF($C$66&gt;=8,"λj ≦ q+5pz &lt; λj+1 の λj+1", "-")</f>
        <v>-</v>
      </c>
      <c r="P85" s="36" t="str" cm="1">
        <f t="array" aca="1" ref="P85" ca="1">IF($C$66&gt;=8, INDEX(INDIRECT($P$2&amp;"!$A:$A"), MATCH($P77, INDIRECT($P$2&amp;"!$A:$A"), 0) +1),"-")</f>
        <v>-</v>
      </c>
    </row>
    <row r="86" spans="2:16" x14ac:dyDescent="0.4">
      <c r="B86" s="12" t="s">
        <v>354</v>
      </c>
      <c r="C86" s="52">
        <v>30</v>
      </c>
      <c r="G86" s="3" t="s">
        <v>76</v>
      </c>
      <c r="H86" s="9" t="s">
        <v>438</v>
      </c>
      <c r="I86" s="11" t="s">
        <v>76</v>
      </c>
      <c r="J86" s="27">
        <f>$J$9</f>
        <v>449.70343964602159</v>
      </c>
      <c r="K86" s="27">
        <f>$C$118+$J$86</f>
        <v>-700.27056035397834</v>
      </c>
      <c r="M86" s="3">
        <f t="shared" si="0"/>
        <v>86</v>
      </c>
      <c r="N86" s="37" t="s">
        <v>159</v>
      </c>
      <c r="O86" s="45" t="s">
        <v>161</v>
      </c>
      <c r="P86" s="36" cm="1">
        <f t="array" aca="1" ref="P86" ca="1">INDEX(INDIRECT($P$2&amp;"!$A:$A"), MATCH($P78, INDIRECT($P$2&amp;"!$A:$A"), 0) +1)</f>
        <v>225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399.75</v>
      </c>
      <c r="K87" s="44"/>
      <c r="M87" s="3">
        <f t="shared" si="0"/>
        <v>87</v>
      </c>
      <c r="N87" s="37" t="s">
        <v>160</v>
      </c>
      <c r="O87" s="45" t="s">
        <v>88</v>
      </c>
      <c r="P87" s="36" cm="1">
        <f t="array" aca="1" ref="P87" ca="1">INDEX(INDIRECT($P$2&amp;"!$A:$A"), MATCH($P79, INDIRECT($P$2&amp;"!$A:$A"), 0) +1)</f>
        <v>250</v>
      </c>
    </row>
    <row r="88" spans="2:16" x14ac:dyDescent="0.4">
      <c r="B88" s="4" t="s">
        <v>347</v>
      </c>
      <c r="C88" s="52">
        <v>0</v>
      </c>
      <c r="G88" s="3" t="s">
        <v>469</v>
      </c>
      <c r="H88" s="9" t="s">
        <v>4</v>
      </c>
      <c r="I88" s="11" t="s">
        <v>75</v>
      </c>
      <c r="J88" s="27">
        <f>$C$7</f>
        <v>5922.6750000000002</v>
      </c>
      <c r="M88" s="3">
        <f t="shared" si="0"/>
        <v>88</v>
      </c>
      <c r="N88" s="37" t="s">
        <v>89</v>
      </c>
      <c r="O88" s="45" t="str">
        <f>IF($C$66&gt;=3,"q-λj","")</f>
        <v>q-λj</v>
      </c>
      <c r="P88" s="36">
        <f ca="1">IF($C$66&gt;=3,$C$61-$P$72, "-")</f>
        <v>5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7.0000000000000007E-2</v>
      </c>
      <c r="K89" s="5"/>
      <c r="M89" s="3">
        <f t="shared" si="0"/>
        <v>89</v>
      </c>
      <c r="N89" s="37" t="s">
        <v>164</v>
      </c>
      <c r="O89" s="45" t="str">
        <f>IF($C$66&gt;=4,"q+pz-λj","")</f>
        <v>q+pz-λj</v>
      </c>
      <c r="P89" s="36">
        <f ca="1">IF($C$66&gt;=4,$C$61+$C$62-$P$73, "-")</f>
        <v>0</v>
      </c>
    </row>
    <row r="90" spans="2:16" x14ac:dyDescent="0.4">
      <c r="J90" s="5"/>
      <c r="K90" s="5"/>
      <c r="M90" s="3">
        <f t="shared" si="0"/>
        <v>90</v>
      </c>
      <c r="N90" s="37" t="s">
        <v>165</v>
      </c>
      <c r="O90" s="45" t="str">
        <f>IF($C$66&gt;=5,"q+2pz-λj","")</f>
        <v>q+2pz-λj</v>
      </c>
      <c r="P90" s="36">
        <f ca="1">IF($C$66&gt;=5,$C$61+2*$C$62-$P$74, "-")</f>
        <v>20</v>
      </c>
    </row>
    <row r="91" spans="2:16" x14ac:dyDescent="0.4">
      <c r="B91" s="4" t="s">
        <v>333</v>
      </c>
      <c r="C91" s="52">
        <v>1</v>
      </c>
      <c r="H91" s="4" t="s">
        <v>444</v>
      </c>
      <c r="I91" s="6"/>
      <c r="J91" s="5"/>
      <c r="M91" s="3">
        <f t="shared" si="0"/>
        <v>91</v>
      </c>
      <c r="N91" s="37" t="s">
        <v>166</v>
      </c>
      <c r="O91" s="45" t="str">
        <f>IF($C$66&gt;=6,"q+3pz-λj","")</f>
        <v>q+3pz-λj</v>
      </c>
      <c r="P91" s="36">
        <f ca="1">IF($C$66&gt;=6,$C$61+3*$C$62-$P$75, "-")</f>
        <v>15</v>
      </c>
    </row>
    <row r="92" spans="2:16" x14ac:dyDescent="0.4">
      <c r="B92" s="12" t="s">
        <v>334</v>
      </c>
      <c r="C92" s="13">
        <v>0.5</v>
      </c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167</v>
      </c>
      <c r="O92" s="45" t="str">
        <f>IF($C$66&gt;=7,"q+4pz-λj","-")</f>
        <v>-</v>
      </c>
      <c r="P92" s="36" t="str">
        <f>IF($C$66&gt;=7,$C$61+4*$C$62-$P$76, "-")</f>
        <v>-</v>
      </c>
    </row>
    <row r="93" spans="2:16" x14ac:dyDescent="0.4">
      <c r="B93" s="12" t="s">
        <v>81</v>
      </c>
      <c r="C93" s="52">
        <v>45</v>
      </c>
      <c r="G93" s="3" t="s">
        <v>78</v>
      </c>
      <c r="H93" s="9" t="s">
        <v>445</v>
      </c>
      <c r="I93" s="11" t="s">
        <v>78</v>
      </c>
      <c r="J93" s="27">
        <f ca="1">$P$113</f>
        <v>155.8000223569716</v>
      </c>
      <c r="M93" s="3">
        <f t="shared" si="0"/>
        <v>93</v>
      </c>
      <c r="N93" s="37" t="s">
        <v>168</v>
      </c>
      <c r="O93" s="45" t="str">
        <f>IF($C$66&gt;=8,"q+5pz-λj","-")</f>
        <v>-</v>
      </c>
      <c r="P93" s="36" t="str">
        <f>IF($C$66&gt;=8,$C$61+5*$C$62-$P$77,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>
        <f>$J$9</f>
        <v>449.70343964602159</v>
      </c>
      <c r="K94" s="27">
        <f>$C$118+$J$94</f>
        <v>-700.27056035397834</v>
      </c>
      <c r="M94" s="3">
        <f t="shared" si="0"/>
        <v>94</v>
      </c>
      <c r="N94" s="37" t="s">
        <v>169</v>
      </c>
      <c r="O94" s="45" t="s">
        <v>169</v>
      </c>
      <c r="P94" s="36">
        <f ca="1">$C$61+($C$66-2)*$C$62-$P$78</f>
        <v>10</v>
      </c>
    </row>
    <row r="95" spans="2:16" x14ac:dyDescent="0.4">
      <c r="B95" s="4" t="s">
        <v>349</v>
      </c>
      <c r="C95" s="52">
        <v>0</v>
      </c>
      <c r="G95" s="3" t="s">
        <v>470</v>
      </c>
      <c r="H95" s="9" t="s">
        <v>429</v>
      </c>
      <c r="I95" s="11" t="s">
        <v>75</v>
      </c>
      <c r="J95" s="27">
        <f>$C$19</f>
        <v>7.0000000000000007E-2</v>
      </c>
      <c r="K95" s="5"/>
      <c r="M95" s="3">
        <f t="shared" si="0"/>
        <v>95</v>
      </c>
      <c r="N95" s="37" t="s">
        <v>91</v>
      </c>
      <c r="O95" s="45" t="s">
        <v>91</v>
      </c>
      <c r="P95" s="36">
        <f ca="1">$C$61+($C$66-1)*$C$62-$P$79</f>
        <v>5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90</v>
      </c>
      <c r="O96" s="45" t="str">
        <f>IF($C$66&gt;=3, "λj+1-q", "-")</f>
        <v>λj+1-q</v>
      </c>
      <c r="P96" s="36">
        <f ca="1">IF($C$66&gt;=3,$P$80-$C$61, "-")</f>
        <v>20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170</v>
      </c>
      <c r="O97" s="45" t="str">
        <f>IF($C$66&gt;=4, "λj+1-q-pz", "-")</f>
        <v>λj+1-q-pz</v>
      </c>
      <c r="P97" s="36">
        <f ca="1">IF($C$66&gt;=4,$P$81-$C$61-$C$62, "-")</f>
        <v>25</v>
      </c>
    </row>
    <row r="98" spans="1:16" x14ac:dyDescent="0.4">
      <c r="B98" s="4" t="s">
        <v>595</v>
      </c>
      <c r="C98" s="71">
        <v>0</v>
      </c>
      <c r="J98" s="5"/>
      <c r="K98" s="5"/>
      <c r="M98" s="3">
        <f t="shared" ref="M98:M195" si="2">ROW(M98)</f>
        <v>98</v>
      </c>
      <c r="N98" s="37" t="s">
        <v>171</v>
      </c>
      <c r="O98" s="45" t="str">
        <f>IF($C$66&gt;=5, "λj+1-q-2pz", "-")</f>
        <v>λj+1-q-2pz</v>
      </c>
      <c r="P98" s="36">
        <f ca="1">IF($C$66&gt;=5,$P$82-$C$61-2*$C$62, "-")</f>
        <v>5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si="2"/>
        <v>99</v>
      </c>
      <c r="N99" s="37" t="s">
        <v>172</v>
      </c>
      <c r="O99" s="45" t="str">
        <f>IF($C$66&gt;=6, "λj+1-q-3pz", "-")</f>
        <v>λj+1-q-3pz</v>
      </c>
      <c r="P99" s="36">
        <f ca="1">IF($C$66&gt;=6,$P$83-$C$61-3*$C$62, "-")</f>
        <v>10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173</v>
      </c>
      <c r="O100" s="45" t="str">
        <f>IF($C$66&gt;=7, "λj+1-q-4pz", "-")</f>
        <v>-</v>
      </c>
      <c r="P100" s="36" t="str">
        <f>IF($C$66&gt;=7,$P$84-$C$61-4*$C$62,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174.36</v>
      </c>
      <c r="K101" s="43"/>
      <c r="M101" s="3">
        <f t="shared" si="2"/>
        <v>101</v>
      </c>
      <c r="N101" s="37" t="s">
        <v>174</v>
      </c>
      <c r="O101" s="45" t="str">
        <f>IF($C$66&gt;=8, "λj+1-q-5pz", "-")</f>
        <v>-</v>
      </c>
      <c r="P101" s="36" t="str">
        <f>IF($C$66&gt;=8,$P$85-$C$61-5*$C$62,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180</v>
      </c>
      <c r="K102" s="60"/>
      <c r="M102" s="3">
        <f t="shared" si="2"/>
        <v>102</v>
      </c>
      <c r="N102" s="37" t="s">
        <v>175</v>
      </c>
      <c r="O102" s="45" t="s">
        <v>175</v>
      </c>
      <c r="P102" s="2">
        <f ca="1">$P$86-$C$61-($C$66-2)*$C$62</f>
        <v>15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>
        <f>$J$9</f>
        <v>449.70343964602159</v>
      </c>
      <c r="K103" s="27">
        <f>$C$118+$J$103</f>
        <v>-700.27056035397834</v>
      </c>
      <c r="M103" s="3">
        <f t="shared" si="2"/>
        <v>103</v>
      </c>
      <c r="N103" s="37" t="s">
        <v>117</v>
      </c>
      <c r="O103" s="45" t="s">
        <v>117</v>
      </c>
      <c r="P103" s="2">
        <f ca="1">$P$87-$C$61-($C$66-1)*$C$62</f>
        <v>20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24.15</v>
      </c>
      <c r="K104" s="60"/>
      <c r="M104" s="3">
        <f t="shared" si="2"/>
        <v>104</v>
      </c>
      <c r="N104" s="37" t="s">
        <v>176</v>
      </c>
      <c r="O104" s="45" t="str">
        <f>IF($C$66&gt;=3,"1列目湾曲中心X","-")</f>
        <v>1列目湾曲中心X</v>
      </c>
      <c r="P104" s="38">
        <f>IF($C$66&gt;=3,SQRT($C$7^2-$P$64^2),"-")</f>
        <v>5916.5288888946534</v>
      </c>
    </row>
    <row r="105" spans="1:16" x14ac:dyDescent="0.4">
      <c r="B105" s="4" t="s">
        <v>594</v>
      </c>
      <c r="C105" s="71">
        <v>0</v>
      </c>
      <c r="G105" s="3" t="s">
        <v>494</v>
      </c>
      <c r="H105" s="9" t="s">
        <v>31</v>
      </c>
      <c r="I105" s="11" t="s">
        <v>76</v>
      </c>
      <c r="J105" s="27">
        <f>$J$196</f>
        <v>8.0500000000000007</v>
      </c>
      <c r="K105" s="60"/>
      <c r="M105" s="3">
        <f t="shared" si="2"/>
        <v>105</v>
      </c>
      <c r="N105" s="37" t="s">
        <v>177</v>
      </c>
      <c r="O105" s="45" t="str">
        <f>IF($C$66&gt;=4,"2列目湾曲中心X","-")</f>
        <v>2列目湾曲中心X</v>
      </c>
      <c r="P105" s="38">
        <f>IF($C$66&gt;=4,SQRT($C$7^2-$P$65^2),"-")</f>
        <v>5917.4068723660539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178</v>
      </c>
      <c r="O106" s="45" t="str">
        <f>IF($C$66&gt;=5,"3列目湾曲中心X","-")</f>
        <v>3列目湾曲中心X</v>
      </c>
      <c r="P106" s="38">
        <f>IF($C$66&gt;=5,SQRT($C$7^2-$P$66^2),"-")</f>
        <v>5918.2171380513746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179</v>
      </c>
      <c r="O107" s="45" t="str">
        <f>IF($C$66&gt;=6,"4列目湾曲中心X","-")</f>
        <v>4列目湾曲中心X</v>
      </c>
      <c r="P107" s="38">
        <f>IF($C$66&gt;=6,SQRT($C$7^2-$P$67^2),"-")</f>
        <v>5918.9597137609408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180</v>
      </c>
      <c r="O108" s="45" t="str">
        <f>IF($C$66&gt;=7,"5列目湾曲中心X","-")</f>
        <v>-</v>
      </c>
      <c r="P108" s="38" t="str">
        <f>IF($C$66&gt;=7,SQRT($C$7^2-$P$68^2),"-")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181</v>
      </c>
      <c r="O109" s="45" t="str">
        <f>IF($C$66&gt;=8,"6列目湾曲中心X","-")</f>
        <v>-</v>
      </c>
      <c r="P109" s="38" t="str">
        <f>IF($C$66&gt;=8,SQRT($C$7^2-$P$69^2),"-")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182</v>
      </c>
      <c r="O110" s="45" t="s">
        <v>184</v>
      </c>
      <c r="P110" s="39">
        <f>SQRT($C$7^2-$P$70^2)</f>
        <v>5919.6346249684193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179</v>
      </c>
      <c r="M111" s="3">
        <f t="shared" si="2"/>
        <v>111</v>
      </c>
      <c r="N111" s="37" t="s">
        <v>183</v>
      </c>
      <c r="O111" s="45" t="s">
        <v>185</v>
      </c>
      <c r="P111" s="39">
        <f>SQRT($C$7^2-$P$71^2)</f>
        <v>5920.2418948151944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>
        <f>$J$9</f>
        <v>449.70343964602159</v>
      </c>
      <c r="K112" s="27">
        <f>$C$118+$J$103</f>
        <v>-700.27056035397834</v>
      </c>
      <c r="M112" s="3">
        <f t="shared" si="2"/>
        <v>112</v>
      </c>
      <c r="N112" s="37" t="s">
        <v>132</v>
      </c>
      <c r="O112" s="46" t="s">
        <v>326</v>
      </c>
      <c r="P112" s="36">
        <f ca="1">INDEX(INDIRECT($P$2&amp;"!B:B"), MATCH(0, INDIRECT($P$2&amp;"!A:A"), 0))</f>
        <v>156.81401534334941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24.15</v>
      </c>
      <c r="K113" s="60"/>
      <c r="M113" s="3">
        <f>ROW(M113)</f>
        <v>113</v>
      </c>
      <c r="N113" s="37" t="s">
        <v>500</v>
      </c>
      <c r="O113" s="46" t="s">
        <v>501</v>
      </c>
      <c r="P113" s="36">
        <f ca="1">INDEX(INDIRECT($P$2&amp;"!C:C"), MATCH(0, INDIRECT($P$2&amp;"!A:A"), 0))</f>
        <v>155.8000223569716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8.0500000000000007</v>
      </c>
      <c r="K114" s="60"/>
      <c r="M114" s="3">
        <f t="shared" si="2"/>
        <v>114</v>
      </c>
      <c r="O114" s="46" t="s">
        <v>524</v>
      </c>
      <c r="P114" s="36">
        <f ca="1">INDEX(INDIRECT($P$2&amp;"!D:D"), MATCH(0, INDIRECT($P$2&amp;"!A:A"), 0))</f>
        <v>4.5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N115" s="37" t="s">
        <v>325</v>
      </c>
      <c r="O115" s="46" t="s">
        <v>327</v>
      </c>
      <c r="P115" s="2">
        <f ca="1">INDEX(INDIRECT($P$2&amp;"!B:B"), MATCH(ROUND($J$4+$J$5, 0), INDIRECT($P$2&amp;"!A:A"), 0))</f>
        <v>154.65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502</v>
      </c>
      <c r="O116" s="46" t="s">
        <v>503</v>
      </c>
      <c r="P116" s="2">
        <f ca="1">INDEX(INDIRECT($P$2&amp;"!C:C"), MATCH(ROUND($J$4+$J$5, 0), INDIRECT($P$2&amp;"!A:A"), 0))</f>
        <v>153.65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O117" s="46" t="s">
        <v>525</v>
      </c>
      <c r="P117" s="2">
        <f ca="1">INDEX(INDIRECT($P$2&amp;"!D:D"), MATCH(ROUND($J$4+$J$5, 0), INDIRECT($P$2&amp;"!A:A"), 0))</f>
        <v>3.5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N118" s="37" t="s">
        <v>186</v>
      </c>
      <c r="O118" s="45" t="str">
        <f>IF($C$66&gt;=3,"λj ≦ q &lt; λj+1 の wAj", "-")</f>
        <v>λj ≦ q &lt; λj+1 の wAj</v>
      </c>
      <c r="P118" s="36">
        <f ca="1">IF($C$66&gt;=3, INDEX(INDIRECT($P$2&amp;"!B:B"), MATCH($P$72, INDIRECT($P$2&amp;"!A:A"), 0)),"-")</f>
        <v>156.20284952810516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7.0000000000000007E-2</v>
      </c>
      <c r="K119" s="5"/>
      <c r="M119" s="3">
        <f t="shared" si="2"/>
        <v>119</v>
      </c>
      <c r="N119" s="37" t="s">
        <v>187</v>
      </c>
      <c r="O119" s="45" t="str">
        <f>IF($C$66&gt;=4,"λj ≦ q+pz &lt; λj+1 の wAj", "-")</f>
        <v>λj ≦ q+pz &lt; λj+1 の wAj</v>
      </c>
      <c r="P119" s="36">
        <f ca="1">IF($C$66&gt;=4, INDEX(INDIRECT($P$2&amp;"!B:B"), MATCH($P$73, INDIRECT($P$2&amp;"!A:A"), 0)),"-")</f>
        <v>156.08090249703767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>
        <f>$J$9</f>
        <v>449.70343964602159</v>
      </c>
      <c r="K120" s="27">
        <f>$C$118+$J$120</f>
        <v>-700.27056035397834</v>
      </c>
      <c r="M120" s="3">
        <f t="shared" si="2"/>
        <v>120</v>
      </c>
      <c r="N120" s="37" t="s">
        <v>188</v>
      </c>
      <c r="O120" s="45" t="str">
        <f>IF($C$66&gt;=5,"λj ≦ q+2pz &lt; λj+1 の wAj", "-")</f>
        <v>λj ≦ q+2pz &lt; λj+1 の wAj</v>
      </c>
      <c r="P120" s="36">
        <f ca="1">IF($C$66&gt;=5, INDEX(INDIRECT($P$2&amp;"!B:B"), MATCH($P$74, INDIRECT($P$2&amp;"!A:A"), 0)),"-")</f>
        <v>156.08090249703767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399.75</v>
      </c>
      <c r="K121" s="44"/>
      <c r="M121" s="3">
        <f t="shared" si="2"/>
        <v>121</v>
      </c>
      <c r="N121" s="37" t="s">
        <v>189</v>
      </c>
      <c r="O121" s="45" t="str">
        <f>IF($C$66&gt;=6,"λj ≦ q+3pz &lt; λj+1 の wAj", "-")</f>
        <v>λj ≦ q+3pz &lt; λj+1 の wAj</v>
      </c>
      <c r="P121" s="36">
        <f ca="1">IF($C$66&gt;=6, INDEX(INDIRECT($P$2&amp;"!B:B"), MATCH($P$75, INDIRECT($P$2&amp;"!A:A"), 0)),"-")</f>
        <v>155.95895546597018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102</v>
      </c>
      <c r="M122" s="3">
        <f t="shared" si="2"/>
        <v>122</v>
      </c>
      <c r="N122" s="37" t="s">
        <v>190</v>
      </c>
      <c r="O122" s="45" t="str">
        <f>IF($C$66&gt;=7,"λj ≦ q+4pz &lt; λj+1 の wAj", "-")</f>
        <v>-</v>
      </c>
      <c r="P122" s="36" t="str">
        <f ca="1">IF($C$66&gt;=7,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85</v>
      </c>
      <c r="M123" s="3">
        <f t="shared" si="2"/>
        <v>123</v>
      </c>
      <c r="N123" s="37" t="s">
        <v>191</v>
      </c>
      <c r="O123" s="45" t="str">
        <f>IF($C$66&gt;=8,"λj ≦ q+5pz &lt; λj+1 の wAj", "-")</f>
        <v>-</v>
      </c>
      <c r="P123" s="36" t="str">
        <f ca="1">IF($C$66&gt;=8,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130</v>
      </c>
      <c r="M124" s="3">
        <f t="shared" si="2"/>
        <v>124</v>
      </c>
      <c r="N124" s="37" t="s">
        <v>192</v>
      </c>
      <c r="O124" s="45" t="s">
        <v>194</v>
      </c>
      <c r="P124" s="36">
        <f ca="1">INDEX(INDIRECT($P$2&amp;"!B:B"), MATCH($P$78, INDIRECT($P$2&amp;"!A:A"), 0))</f>
        <v>155.84853718389309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17</v>
      </c>
      <c r="M125" s="3">
        <f t="shared" si="2"/>
        <v>125</v>
      </c>
      <c r="N125" s="37" t="s">
        <v>193</v>
      </c>
      <c r="O125" s="45" t="s">
        <v>195</v>
      </c>
      <c r="P125" s="36">
        <f ca="1">INDEX(INDIRECT($P$2&amp;"!B:B"), MATCH($P$79, INDIRECT($P$2&amp;"!A:A"), 0))</f>
        <v>155.74862076734124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20</v>
      </c>
      <c r="M126" s="3">
        <f t="shared" si="2"/>
        <v>126</v>
      </c>
      <c r="N126" s="37" t="s">
        <v>196</v>
      </c>
      <c r="O126" s="45" t="str">
        <f>IF($C$66&gt;=3,"λj ≦ q &lt; λj+1 の wAj+1", "-")</f>
        <v>λj ≦ q &lt; λj+1 の wAj+1</v>
      </c>
      <c r="P126" s="36">
        <f ca="1">IF($C$66&gt;=3, INDEX(INDIRECT($P$2&amp;"!B:B"), MATCH($P$80, INDIRECT($P$2&amp;"!A:A"), 0)),"-")</f>
        <v>156.08090249703767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6</v>
      </c>
      <c r="M127" s="3">
        <f t="shared" si="2"/>
        <v>127</v>
      </c>
      <c r="N127" s="37" t="s">
        <v>197</v>
      </c>
      <c r="O127" s="45" t="str">
        <f>IF($C$66&gt;=4,"λj ≦ q+pz &lt; λj+1 の wAj+1", "-")</f>
        <v>λj ≦ q+pz &lt; λj+1 の wAj+1</v>
      </c>
      <c r="P127" s="36">
        <f ca="1">IF($C$66&gt;=4, INDEX(INDIRECT($P$2&amp;"!B:B"), MATCH($P$81, INDIRECT($P$2&amp;"!A:A"), 0)),"-")</f>
        <v>155.95895546597018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0.31</v>
      </c>
      <c r="M128" s="3">
        <f t="shared" si="2"/>
        <v>128</v>
      </c>
      <c r="N128" s="37" t="s">
        <v>198</v>
      </c>
      <c r="O128" s="45" t="str">
        <f>IF($C$66&gt;=5,"λj ≦ q+2pz &lt; λj+1 の wAj+1", "-")</f>
        <v>λj ≦ q+2pz &lt; λj+1 の wAj+1</v>
      </c>
      <c r="P128" s="36">
        <f ca="1">IF($C$66&gt;=5, INDEX(INDIRECT($P$2&amp;"!B:B"), MATCH($P$82, INDIRECT($P$2&amp;"!A:A"), 0)),"-")</f>
        <v>155.95895546597018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5922.6750000000002</v>
      </c>
      <c r="M129" s="3">
        <f t="shared" si="2"/>
        <v>129</v>
      </c>
      <c r="N129" s="37" t="s">
        <v>199</v>
      </c>
      <c r="O129" s="45" t="str">
        <f>IF($C$66&gt;=6,"λj ≦ q+3pz &lt; λj+1 の wAj+1", "-")</f>
        <v>λj ≦ q+3pz &lt; λj+1 の wAj+1</v>
      </c>
      <c r="P129" s="36">
        <f ca="1">IF($C$66&gt;=6, INDEX(INDIRECT($P$2&amp;"!B:B"), MATCH($P$83, INDIRECT($P$2&amp;"!A:A"), 0)),"-")</f>
        <v>155.84853718389309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>
        <f>$J$13</f>
        <v>-0.48299999999999998</v>
      </c>
      <c r="K130" s="43"/>
      <c r="M130" s="3">
        <f t="shared" si="2"/>
        <v>130</v>
      </c>
      <c r="N130" s="37" t="s">
        <v>200</v>
      </c>
      <c r="O130" s="45" t="str">
        <f>IF($C$66&gt;=7,"λj ≦ q+4pz &lt; λj+1 の wAj+1", "-")</f>
        <v>-</v>
      </c>
      <c r="P130" s="36" t="str">
        <f ca="1">IF($C$66&gt;=7,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>
        <f ca="1">-ROUND(DEGREES($P$139),3)</f>
        <v>-3.0579999999999998</v>
      </c>
      <c r="K131" s="5"/>
      <c r="M131" s="3">
        <f t="shared" si="2"/>
        <v>131</v>
      </c>
      <c r="N131" s="37" t="s">
        <v>201</v>
      </c>
      <c r="O131" s="45" t="str">
        <f>IF($C$66&gt;=8,"λj ≦ q+5pz &lt; λj+1 の wAj+1", "-")</f>
        <v>-</v>
      </c>
      <c r="P131" s="36" t="str">
        <f ca="1">IF($C$66&gt;=8,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202</v>
      </c>
      <c r="O132" s="45" t="s">
        <v>204</v>
      </c>
      <c r="P132" s="36">
        <f ca="1">INDEX(INDIRECT($P$2&amp;"!B:B"), MATCH($P$86, INDIRECT($P$2&amp;"!A:A"), 0))</f>
        <v>155.74862076734124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203</v>
      </c>
      <c r="O133" s="45" t="s">
        <v>205</v>
      </c>
      <c r="P133" s="36">
        <f ca="1">INDEX(INDIRECT($P$2&amp;"!B:B"), MATCH($P$87, INDIRECT($P$2&amp;"!A:A"), 0))</f>
        <v>155.65822980411488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cm="1">
        <f t="array" ref="J134">_xlfn.IFS($C$68&gt;=20, $C$134, $C$68&gt;=6.6, $C$135, $C$68&gt;=15, $C$136)</f>
        <v>31</v>
      </c>
      <c r="K134" s="43"/>
      <c r="M134" s="3">
        <f t="shared" si="2"/>
        <v>134</v>
      </c>
      <c r="N134" s="37" t="s">
        <v>216</v>
      </c>
      <c r="O134" s="45" t="s">
        <v>135</v>
      </c>
      <c r="P134" s="2">
        <f ca="1">$C$7+$J$327/2</f>
        <v>6001.1520076716752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217</v>
      </c>
      <c r="O135" s="45" t="s">
        <v>136</v>
      </c>
      <c r="P135" s="2">
        <f ca="1">$C$7+$J$328/2</f>
        <v>6000.8342300609456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220</v>
      </c>
      <c r="O136" s="45" t="s">
        <v>410</v>
      </c>
      <c r="P136" s="2">
        <f ca="1">SQRT($P$135^2-$P$64^2)</f>
        <v>5994.7682519152595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221</v>
      </c>
      <c r="O137" s="45" t="s">
        <v>410</v>
      </c>
      <c r="P137" s="2">
        <f ca="1">SQRT($P$134^2-$J$4^2)</f>
        <v>5987.8230899619757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>
        <f>$J$13</f>
        <v>-0.48299999999999998</v>
      </c>
      <c r="K138" s="27">
        <f>-$C$119+$J$138</f>
        <v>-0.55599999999999994</v>
      </c>
      <c r="M138" s="3">
        <f t="shared" si="2"/>
        <v>138</v>
      </c>
      <c r="N138" s="37" t="s">
        <v>118</v>
      </c>
      <c r="O138" s="45" t="s">
        <v>118</v>
      </c>
      <c r="P138" s="2">
        <f ca="1">IF($P$136&gt;$P$137, ($P$136-$P$137)/$C$61, 0)</f>
        <v>5.3424322717567592E-2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119</v>
      </c>
      <c r="O139" s="45" t="s">
        <v>451</v>
      </c>
      <c r="P139" s="2">
        <f ca="1">ATAN($P$138)</f>
        <v>5.3373582424476908E-2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>
        <f>$J$9</f>
        <v>449.70343964602159</v>
      </c>
      <c r="K140" s="27">
        <f>$C$118+$J$140</f>
        <v>-700.27056035397834</v>
      </c>
      <c r="M140" s="3">
        <f t="shared" si="2"/>
        <v>140</v>
      </c>
      <c r="N140" s="37" t="s">
        <v>119</v>
      </c>
      <c r="O140" s="45" t="s">
        <v>452</v>
      </c>
      <c r="P140" s="2">
        <f ca="1">-RADIANS($J$131)</f>
        <v>5.3372168525986592E-2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>
        <f ca="1">$P$114</f>
        <v>4.5</v>
      </c>
      <c r="M141" s="3">
        <f t="shared" si="2"/>
        <v>141</v>
      </c>
      <c r="N141" s="37" t="s">
        <v>282</v>
      </c>
      <c r="O141" s="45" t="s">
        <v>282</v>
      </c>
      <c r="P141" s="2">
        <f ca="1">SIN($P$140)</f>
        <v>5.3346832911673678E-2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281</v>
      </c>
      <c r="O142" s="45" t="s">
        <v>281</v>
      </c>
      <c r="P142" s="2">
        <f ca="1">COS($P$140)</f>
        <v>0.9985760438836363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218</v>
      </c>
      <c r="O143" s="45" t="s">
        <v>85</v>
      </c>
      <c r="P143" s="2">
        <f ca="1">$C$7-$J$328/2</f>
        <v>5844.5157699390547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219</v>
      </c>
      <c r="O144" s="45" t="s">
        <v>86</v>
      </c>
      <c r="P144" s="2">
        <f ca="1">$C$7-$J$329/2</f>
        <v>5844.7397287126523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222</v>
      </c>
      <c r="O145" s="45" t="s">
        <v>414</v>
      </c>
      <c r="P145" s="2">
        <f ca="1">SQRT($P$144^2-$P$71^2)</f>
        <v>5842.2741662722447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223</v>
      </c>
      <c r="O146" s="45" t="s">
        <v>414</v>
      </c>
      <c r="P146" s="2">
        <f ca="1">SQRT($P$143^2-$P$64^2)</f>
        <v>5838.2873792377077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120</v>
      </c>
      <c r="P147" s="2">
        <f ca="1">($P145-$P146)/($P$64-$P$71)</f>
        <v>3.9867870345369739E-2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180</v>
      </c>
      <c r="K148" s="60"/>
      <c r="M148" s="3">
        <f t="shared" si="2"/>
        <v>148</v>
      </c>
      <c r="N148" s="37" t="s">
        <v>121</v>
      </c>
      <c r="O148" s="45" t="s">
        <v>92</v>
      </c>
      <c r="P148" s="2">
        <f ca="1">ATAN($P$147)</f>
        <v>3.9846767843056664E-2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179</v>
      </c>
      <c r="K149" s="60"/>
      <c r="M149" s="3">
        <f>ROW(M149)</f>
        <v>149</v>
      </c>
      <c r="N149" s="37" t="s">
        <v>123</v>
      </c>
      <c r="O149" s="45" t="s">
        <v>415</v>
      </c>
      <c r="P149" s="2">
        <f>IF(MOD($C$66, 2)=0, $C$64, $C$65)</f>
        <v>102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>
        <f>$J$9</f>
        <v>449.70343964602159</v>
      </c>
      <c r="K150" s="27">
        <f>$C$118+$J$150</f>
        <v>-700.27056035397834</v>
      </c>
      <c r="M150" s="3">
        <f t="shared" si="2"/>
        <v>150</v>
      </c>
      <c r="N150" s="37" t="s">
        <v>122</v>
      </c>
      <c r="O150" s="45" t="s">
        <v>416</v>
      </c>
      <c r="P150" s="2">
        <f>IF(MOD($C$66, 2)=0, $C$65, $C$64)</f>
        <v>85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224</v>
      </c>
      <c r="O151" s="45" t="s">
        <v>130</v>
      </c>
      <c r="P151" s="2">
        <f ca="1">$J$327/2-$J$317-$P$149/2</f>
        <v>17.011452303904377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32.200000000000003</v>
      </c>
      <c r="K152" s="60"/>
      <c r="M152" s="3">
        <f t="shared" si="2"/>
        <v>152</v>
      </c>
      <c r="N152" s="37" t="s">
        <v>225</v>
      </c>
      <c r="O152" s="45" t="s">
        <v>131</v>
      </c>
      <c r="P152" s="2">
        <f ca="1">$J$327/2-$J$318-$P$150/2</f>
        <v>24.904182457129252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24.15</v>
      </c>
      <c r="K153" s="60"/>
      <c r="M153" s="3">
        <f t="shared" si="2"/>
        <v>153</v>
      </c>
      <c r="N153" s="37" t="s">
        <v>227</v>
      </c>
      <c r="O153" s="45" t="str">
        <f>IF($C$66&gt;=3,"λj ≦ q &lt; λj+1 の wBj", "-")</f>
        <v>λj ≦ q &lt; λj+1 の wBj</v>
      </c>
      <c r="P153" s="36">
        <f ca="1">IF($C$66&gt;=3, INDEX(INDIRECT($P$2&amp;"!C:C"), MATCH($P$72, INDIRECT($P$2&amp;"!A:A"), 0)),"-")</f>
        <v>155.19280847069746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8.0500000000000007</v>
      </c>
      <c r="K154" s="60"/>
      <c r="M154" s="3">
        <f t="shared" si="2"/>
        <v>154</v>
      </c>
      <c r="N154" s="37" t="s">
        <v>228</v>
      </c>
      <c r="O154" s="45" t="str">
        <f>IF($C$66&gt;=4,"λj ≦ q+pz &lt; λj+1 の wBj", "-")</f>
        <v>λj ≦ q+pz &lt; λj+1 の wBj</v>
      </c>
      <c r="P154" s="36">
        <f ca="1">IF($C$66&gt;=4, INDEX(INDIRECT($P$2&amp;"!C:C"), MATCH($P$73, INDIRECT($P$2&amp;"!A:A"), 0)),"-")</f>
        <v>155.07164997523336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229</v>
      </c>
      <c r="O155" s="45" t="str">
        <f>IF($C$66&gt;=5,"λj ≦ q+2pz &lt; λj+1 の wBj", "-")</f>
        <v>λj ≦ q+2pz &lt; λj+1 の wBj</v>
      </c>
      <c r="P155" s="36">
        <f ca="1">IF($C$66&gt;=5, INDEX(INDIRECT($P$2&amp;"!C:C"), MATCH($P$74, INDIRECT($P$2&amp;"!A:A"), 0)),"-")</f>
        <v>155.07164997523336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230</v>
      </c>
      <c r="O156" s="45" t="str">
        <f>IF($C$66&gt;=6,"λj ≦ q+3pz &lt; λj+1 の wBj", "-")</f>
        <v>λj ≦ q+3pz &lt; λj+1 の wBj</v>
      </c>
      <c r="P156" s="36">
        <f ca="1">IF($C$66&gt;=6, INDEX(INDIRECT($P$2&amp;"!C:C"), MATCH($P$75, INDIRECT($P$2&amp;"!A:A"), 0)),"-")</f>
        <v>154.95049147976925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231</v>
      </c>
      <c r="O157" s="45" t="str">
        <f>IF($C$66&gt;=7,"λj ≦ q+4pz &lt; λj+1 の wBj", "-")</f>
        <v>-</v>
      </c>
      <c r="P157" s="36" t="str">
        <f ca="1">IF($C$66&gt;=7,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232</v>
      </c>
      <c r="O158" s="45" t="str">
        <f>IF($C$66&gt;=8,"λj ≦ q+5pz &lt; λj+1 の wBj", "-")</f>
        <v>-</v>
      </c>
      <c r="P158" s="36" t="str">
        <f ca="1">IF($C$66&gt;=8,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233</v>
      </c>
      <c r="O159" s="45" t="s">
        <v>243</v>
      </c>
      <c r="P159" s="36">
        <f ca="1">INDEX(INDIRECT($P$2&amp;"!C:C"), MATCH($P$78, INDIRECT($P$2&amp;"!A:A"), 0))</f>
        <v>154.8407871859371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234</v>
      </c>
      <c r="O160" s="45" t="s">
        <v>244</v>
      </c>
      <c r="P160" s="36">
        <f ca="1">INDEX(INDIRECT($P$2&amp;"!C:C"), MATCH($P$79, INDIRECT($P$2&amp;"!A:A"), 0))</f>
        <v>154.74151685031995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235</v>
      </c>
      <c r="O161" s="45" t="str">
        <f>IF($C$66&gt;=3,"λj ≦ q &lt; λj+1 の wBj+1", "-")</f>
        <v>λj ≦ q &lt; λj+1 の wBj+1</v>
      </c>
      <c r="P161" s="36">
        <f ca="1">IF($C$66&gt;=3, INDEX(INDIRECT($P$2&amp;"!C:C"), MATCH($P$80, INDIRECT($P$2&amp;"!A:A"), 0)),"-")</f>
        <v>155.07164997523336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236</v>
      </c>
      <c r="O162" s="45" t="str">
        <f>IF($C$66&gt;=4,"λj ≦ q+pz &lt; λj+1 の wBj+1", "-")</f>
        <v>λj ≦ q+pz &lt; λj+1 の wBj+1</v>
      </c>
      <c r="P162" s="36">
        <f ca="1">IF($C$66&gt;=4, INDEX(INDIRECT($P$2&amp;"!C:C"), MATCH($P$81, INDIRECT($P$2&amp;"!A:A"), 0)),"-")</f>
        <v>154.95049147976925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237</v>
      </c>
      <c r="O163" s="45" t="str">
        <f>IF($C$66&gt;=5,"λj ≦ q+2pz &lt; λj+1 の wBj+1", "-")</f>
        <v>λj ≦ q+2pz &lt; λj+1 の wBj+1</v>
      </c>
      <c r="P163" s="36">
        <f ca="1">IF($C$66&gt;=5, INDEX(INDIRECT($P$2&amp;"!C:C"), MATCH($P$82, INDIRECT($P$2&amp;"!A:A"), 0)),"-")</f>
        <v>154.95049147976925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180</v>
      </c>
      <c r="K164" s="60"/>
      <c r="M164" s="3">
        <f t="shared" si="2"/>
        <v>164</v>
      </c>
      <c r="N164" s="37" t="s">
        <v>238</v>
      </c>
      <c r="O164" s="45" t="str">
        <f>IF($C$66&gt;=6,"λj ≦ q+3pz &lt; λj+1 の wBj+1", "-")</f>
        <v>λj ≦ q+3pz &lt; λj+1 の wBj+1</v>
      </c>
      <c r="P164" s="36">
        <f ca="1">IF($C$66&gt;=6, INDEX(INDIRECT($P$2&amp;"!C:C"), MATCH($P$83, INDIRECT($P$2&amp;"!A:A"), 0)),"-")</f>
        <v>154.8407871859371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179</v>
      </c>
      <c r="K165" s="60"/>
      <c r="M165" s="3">
        <f t="shared" si="2"/>
        <v>165</v>
      </c>
      <c r="N165" s="37" t="s">
        <v>239</v>
      </c>
      <c r="O165" s="45" t="str">
        <f>IF($C$66&gt;=7,"λj ≦ q+4pz &lt; λj+1 の wBj+1", "-")</f>
        <v>-</v>
      </c>
      <c r="P165" s="36" t="str">
        <f ca="1">IF($C$66&gt;=7,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>
        <f>$J$9</f>
        <v>449.70343964602159</v>
      </c>
      <c r="K166" s="27">
        <f>$C$118+$J$150</f>
        <v>-700.27056035397834</v>
      </c>
      <c r="M166" s="3">
        <f t="shared" si="2"/>
        <v>166</v>
      </c>
      <c r="N166" s="37" t="s">
        <v>240</v>
      </c>
      <c r="O166" s="45" t="str">
        <f>IF($C$66&gt;=8,"λj ≦ q+5pz &lt; λj+1 の wBj+1", "-")</f>
        <v>-</v>
      </c>
      <c r="P166" s="36" t="str">
        <f ca="1">IF($C$66&gt;=8,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241</v>
      </c>
      <c r="O167" s="45" t="s">
        <v>245</v>
      </c>
      <c r="P167" s="2">
        <f ca="1">INDEX(INDIRECT($P$2&amp;"!C:C"), MATCH($P$86, INDIRECT($P$2&amp;"!A:A"), 0))</f>
        <v>154.74151685031995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242</v>
      </c>
      <c r="O168" s="45" t="s">
        <v>246</v>
      </c>
      <c r="P168" s="2">
        <f ca="1">INDEX(INDIRECT($P$2&amp;"!C:C"), MATCH($P$87, INDIRECT($P$2&amp;"!A:A"), 0))</f>
        <v>154.65171037440834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263</v>
      </c>
      <c r="O169" s="46" t="str">
        <f>IF($C$66&gt;=4,"2列目AC内径（水平・めっき含・概算）","-")</f>
        <v>2列目AC内径（水平・めっき含・概算）</v>
      </c>
      <c r="P169" s="36">
        <f ca="1">IF($C$66&gt;=4,($P$89*$P$127+$P$97*$P$119)/($P$81-$P$73)+$C$19*2,"-")</f>
        <v>156.22090249703766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264</v>
      </c>
      <c r="O170" s="46" t="str">
        <f>IF($C$66&gt;=5,"3列目AC内径（水平・めっき含・概算）","-")</f>
        <v>3列目AC内径（水平・めっき含・概算）</v>
      </c>
      <c r="P170" s="36">
        <f ca="1">IF($C$66&gt;=5,($P$90*$P$128+$P$98*$P$120)/($P$82-$P$74)+$C$19*2,"-")</f>
        <v>156.12334487218365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265</v>
      </c>
      <c r="O171" s="46" t="str">
        <f>IF($C$66&gt;=6,"4列目AC内径（水平・めっき含・概算）","-")</f>
        <v>4列目AC内径（水平・めっき含・概算）</v>
      </c>
      <c r="P171" s="36">
        <f ca="1">IF($C$66&gt;=6,($P$91*$P$129+$P$99*$P$121)/($P$83-$P$75)+$C$19*2,"-")</f>
        <v>156.03270449672391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266</v>
      </c>
      <c r="O172" s="46" t="str">
        <f>IF($C$66&gt;=7,"5列目AC内径（水平・めっき含・概算）","-")</f>
        <v>-</v>
      </c>
      <c r="P172" s="36" t="str">
        <f>IF($C$66&gt;=7,($P$92*$P$130+$P$100*$P$122)/($P$84-$P$76)+$C$19*2,"-")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>
        <f>$J$9</f>
        <v>449.70343964602159</v>
      </c>
      <c r="K173" s="27">
        <f>$C$118+$J$150</f>
        <v>-700.27056035397834</v>
      </c>
      <c r="M173" s="3">
        <f t="shared" si="2"/>
        <v>173</v>
      </c>
      <c r="N173" s="37" t="s">
        <v>267</v>
      </c>
      <c r="O173" s="46" t="str">
        <f>IF($C$66&gt;=8,"6列目AC内径（水平・めっき含・概算）","-")</f>
        <v>-</v>
      </c>
      <c r="P173" s="36" t="str">
        <f>IF($C$66&gt;=8,($P$93*$P$131+$P$101*$P$123)/($P$85-$P$77)+$C$19*2,"-")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268</v>
      </c>
      <c r="O174" s="46" t="s">
        <v>253</v>
      </c>
      <c r="P174" s="2">
        <f ca="1">($P$94*$P$132+$P$102*$P$124)/($P$86-$P$78)+$C$19*2</f>
        <v>155.94857061727234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212</v>
      </c>
      <c r="O175" s="46" t="s">
        <v>255</v>
      </c>
      <c r="P175" s="2">
        <f ca="1">INDEX(INDIRECT($P$2&amp;"!C:C"), MATCH(0, INDIRECT($P$2&amp;"!A:A"), 0))+$C$19*2</f>
        <v>155.94002235697158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252</v>
      </c>
      <c r="O176" s="46" t="str">
        <f>IF($C$66&gt;=3,"1列目 BD内径（めっき含・概算）","-")</f>
        <v>1列目 BD内径（めっき含・概算）</v>
      </c>
      <c r="P176" s="36">
        <f ca="1">IF($C$66&gt;=3,($P$88*$P$161+$P$96*$P$153)/($P$80-$P$72)+$C$19*2,"-")</f>
        <v>155.30857677160463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257</v>
      </c>
      <c r="O177" s="46" t="str">
        <f>IF($C$66&gt;=4,"2列目 BD内径（めっき含・概算）","-")</f>
        <v>2列目 BD内径（めっき含・概算）</v>
      </c>
      <c r="P177" s="36">
        <f ca="1">IF($C$66&gt;=4,($P$89*$P$162+$P$97*$P$154)/($P$81-$P$73)+$C$19*2,"-")</f>
        <v>155.21164997523334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6</v>
      </c>
      <c r="K178" s="43"/>
      <c r="M178" s="3">
        <f t="shared" si="2"/>
        <v>178</v>
      </c>
      <c r="N178" s="37" t="s">
        <v>258</v>
      </c>
      <c r="O178" s="46" t="str">
        <f>IF($C$66&gt;=5,"3列目 BD内径（めっき含・概算）","-")</f>
        <v>3列目 BD内径（めっき含・概算）</v>
      </c>
      <c r="P178" s="36">
        <f ca="1">IF($C$66&gt;=5,($P$90*$P$163+$P$98*$P$155)/($P$82-$P$74)+$C$19*2,"-")</f>
        <v>155.11472317886205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>
        <f>$J$13</f>
        <v>-0.48299999999999998</v>
      </c>
      <c r="K179" s="27">
        <f>-$C$119+$J$179</f>
        <v>-0.55599999999999994</v>
      </c>
      <c r="M179" s="3">
        <f t="shared" si="2"/>
        <v>179</v>
      </c>
      <c r="N179" s="37" t="s">
        <v>259</v>
      </c>
      <c r="O179" s="46" t="str">
        <f>IF($C$66&gt;=6,"4列目 BD内径（めっき含・概算）","-")</f>
        <v>4列目 BD内径（めっき含・概算）</v>
      </c>
      <c r="P179" s="36">
        <f ca="1">IF($C$66&gt;=6,($P$91*$P$164+$P$99*$P$156)/($P$83-$P$75)+$C$19*2,"-")</f>
        <v>155.02466890346994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260</v>
      </c>
      <c r="O180" s="46" t="str">
        <f>IF($C$66&gt;=7,"5列目 BD内径（めっき含・概算）","-")</f>
        <v>-</v>
      </c>
      <c r="P180" s="36" t="str">
        <f>IF($C$66&gt;=7,($P$92*$P$165+$P$100*$P$157)/($P$84-$P$76)+$C$19*2,"-")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261</v>
      </c>
      <c r="O181" s="46" t="str">
        <f>IF($C$66&gt;=8,"6列目 BD内径（めっき含・概算）","-")</f>
        <v>-</v>
      </c>
      <c r="P181" s="36" t="str">
        <f>IF($C$66&gt;=8,($P$93*$P$166+$P$101*$P$158)/($P$85-$P$77)+$C$19*2,"-")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262</v>
      </c>
      <c r="O182" s="46" t="s">
        <v>256</v>
      </c>
      <c r="P182" s="2">
        <f ca="1">($P$94*$P$167+$P$102*$P$159)/($P$86-$P$78)+$C$19*2</f>
        <v>154.94107905169022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3</v>
      </c>
      <c r="K183" s="43"/>
      <c r="M183" s="3">
        <f t="shared" si="2"/>
        <v>183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174.36</v>
      </c>
      <c r="K186" s="43"/>
      <c r="M186" s="3">
        <f t="shared" si="2"/>
        <v>186</v>
      </c>
      <c r="N186" s="37" t="s">
        <v>124</v>
      </c>
      <c r="P186" s="2" t="e">
        <f>#REF!^2+(2*P15)^2</f>
        <v>#REF!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173</v>
      </c>
      <c r="K187" s="43"/>
      <c r="M187" s="3">
        <f t="shared" si="2"/>
        <v>187</v>
      </c>
      <c r="N187" s="37" t="s">
        <v>125</v>
      </c>
      <c r="O187" s="45" t="s">
        <v>21</v>
      </c>
      <c r="P187" s="2" t="e">
        <f>SQRT(P186)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180</v>
      </c>
      <c r="K188" s="60"/>
      <c r="M188" s="3">
        <f t="shared" si="2"/>
        <v>188</v>
      </c>
      <c r="N188" s="37" t="s">
        <v>49</v>
      </c>
      <c r="O188" s="45" t="s">
        <v>22</v>
      </c>
      <c r="P188" s="2" t="e">
        <f>2*P15/P187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179</v>
      </c>
      <c r="K189" s="60"/>
      <c r="M189" s="3">
        <f t="shared" si="2"/>
        <v>189</v>
      </c>
      <c r="N189" s="37" t="s">
        <v>50</v>
      </c>
      <c r="O189" s="45" t="s">
        <v>23</v>
      </c>
      <c r="P189" s="2" t="e">
        <f>#REF!/P187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126</v>
      </c>
      <c r="P190" s="2">
        <f>SQRT(P14^2-(P15-P28)^2)</f>
        <v>5726.7759390100991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127</v>
      </c>
      <c r="P191" s="2">
        <f>SQRT(P14^2-(P15+P28)^2)</f>
        <v>5721.3602102668729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>
        <f>$J$9</f>
        <v>449.70343964602159</v>
      </c>
      <c r="K192" s="27">
        <f>$C$118+$J$192</f>
        <v>-700.27056035397834</v>
      </c>
      <c r="M192" s="3">
        <f t="shared" si="2"/>
        <v>192</v>
      </c>
      <c r="N192" s="37" t="s">
        <v>128</v>
      </c>
      <c r="P192" s="2">
        <f>P28*P15</f>
        <v>15500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399.75</v>
      </c>
      <c r="K193" s="44"/>
      <c r="M193" s="3">
        <f t="shared" si="2"/>
        <v>193</v>
      </c>
      <c r="N193" s="37" t="s">
        <v>129</v>
      </c>
      <c r="P193" s="2" t="e">
        <f>SQRT(P14^2-P186/4)</f>
        <v>#REF!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5922.6750000000002</v>
      </c>
      <c r="M194" s="3">
        <f t="shared" si="2"/>
        <v>194</v>
      </c>
      <c r="N194" s="37" t="s">
        <v>58</v>
      </c>
      <c r="P194" s="2" t="e">
        <f>P193*P188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24.15</v>
      </c>
      <c r="K195" s="60"/>
      <c r="M195" s="3">
        <f t="shared" si="2"/>
        <v>195</v>
      </c>
      <c r="N195" s="37" t="s">
        <v>59</v>
      </c>
      <c r="O195" s="45" t="s">
        <v>19</v>
      </c>
      <c r="P195" s="2" t="e">
        <f>P193*P189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8.0500000000000007</v>
      </c>
      <c r="K196" s="60"/>
      <c r="M196" s="3">
        <f t="shared" ref="M196" si="3">ROW(M196)</f>
        <v>196</v>
      </c>
      <c r="N196" s="37" t="s">
        <v>33</v>
      </c>
      <c r="O196" s="45" t="s">
        <v>18</v>
      </c>
      <c r="P196" s="2" t="e">
        <f>#REF!/2+P13-P194</f>
        <v>#REF!</v>
      </c>
    </row>
    <row r="197" spans="7:16" x14ac:dyDescent="0.4">
      <c r="H197" s="2"/>
      <c r="I197" s="19"/>
      <c r="J197" s="5"/>
      <c r="K197" s="5"/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cm="1">
        <f t="array" ref="J199">_xlfn.IFS($C$86=15, $C$129, $C$86=30, $C$130, OR($C$86=45, $C$88&lt;&gt;0), $C$131)</f>
        <v>12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>
        <f>$J$13</f>
        <v>-0.48299999999999998</v>
      </c>
      <c r="K200" s="27">
        <f>-$C$119+$J$200</f>
        <v>-0.55599999999999994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>
        <f>$J$9</f>
        <v>449.70343964602159</v>
      </c>
      <c r="K206" s="27">
        <f>$C$118+$J$206</f>
        <v>-700.27056035397834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399.75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5922.6750000000002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5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18</v>
      </c>
    </row>
    <row r="211" spans="7:16" x14ac:dyDescent="0.4">
      <c r="H211" s="21"/>
      <c r="J211" s="19"/>
      <c r="K211" s="5"/>
      <c r="N211" s="45"/>
      <c r="O211" s="46"/>
      <c r="P211" s="1"/>
    </row>
    <row r="212" spans="7:16" x14ac:dyDescent="0.4">
      <c r="H212" s="28" t="s">
        <v>513</v>
      </c>
      <c r="I212" s="25"/>
      <c r="J212" s="5"/>
      <c r="K212" s="5"/>
    </row>
    <row r="213" spans="7:16" x14ac:dyDescent="0.4">
      <c r="G213" s="3" t="s">
        <v>467</v>
      </c>
      <c r="H213" s="9" t="s">
        <v>360</v>
      </c>
      <c r="I213" s="11" t="s">
        <v>75</v>
      </c>
      <c r="J213" s="57" cm="1">
        <f t="array" ref="J213">_xlfn.IFS($C$93=15, $C$129, $C$93=30, $C$130, OR($C$93=45, $C$95&lt;&gt;0), $C$131)</f>
        <v>13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>
        <f>$J$13</f>
        <v>-0.48299999999999998</v>
      </c>
      <c r="K214" s="27">
        <f>-$C$119+$J$214</f>
        <v>-0.55599999999999994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>
        <f>$J$9</f>
        <v>449.70343964602159</v>
      </c>
      <c r="K220" s="27">
        <f>$C$118+$J$220</f>
        <v>-700.27056035397834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399.75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5922.6750000000002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0.5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>
        <f ca="1">$P$114</f>
        <v>4.5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7.0000000000000007E-2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>
        <f>$J$14</f>
        <v>179.517</v>
      </c>
      <c r="K229" s="27">
        <f>-$C$119+$J$229</f>
        <v>179.44399999999999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>
        <f>$J$10</f>
        <v>449.79656035397841</v>
      </c>
      <c r="K231" s="27">
        <f>$C$118+$J$231</f>
        <v>-700.17743964602153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>
        <f ca="1">$P$117</f>
        <v>3.5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>
        <f>$J$14</f>
        <v>179.517</v>
      </c>
      <c r="K236" s="27">
        <f>-$C$119+$J$261</f>
        <v>179.44399999999999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180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179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>
        <f>$J$10</f>
        <v>449.79656035397841</v>
      </c>
      <c r="K242" s="27">
        <f>$C$118+$J$242</f>
        <v>-700.17743964602153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>
        <f>$J$14</f>
        <v>179.517</v>
      </c>
      <c r="K248" s="27">
        <f>-$C$119+$J$261</f>
        <v>179.44399999999999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180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179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>
        <f>$J$10</f>
        <v>449.79656035397841</v>
      </c>
      <c r="K254" s="27">
        <f>$C$118+$J$242</f>
        <v>-700.17743964602153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5922.6750000000002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cm="1">
        <f t="array" ref="J260">_xlfn.IFS($C$72=15, $C$129, $C$72=30, $C$130, OR($C$72=45, $C$74&lt;&gt;0), $C$131)</f>
        <v>13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>
        <f>$J$14</f>
        <v>179.517</v>
      </c>
      <c r="K261" s="27">
        <f>-$C$119+$J$261</f>
        <v>179.44399999999999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>
        <f>$J$10</f>
        <v>449.79656035397841</v>
      </c>
      <c r="K267" s="27">
        <f>$C$118+$J$267</f>
        <v>-700.17743964602153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499.75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5922.6750000000002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0.5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18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cm="1">
        <f t="array" ref="J274">_xlfn.IFS($C$79=15, $C$129, $C$79=30, $C$130, OR($C$79=45, $C$81&lt;&gt;0), $C$131)</f>
        <v>13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>
        <f>$J$14</f>
        <v>179.517</v>
      </c>
      <c r="K275" s="27">
        <f>-$C$119+$J$275</f>
        <v>179.44399999999999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>
        <f>$J$10</f>
        <v>449.79656035397841</v>
      </c>
      <c r="K278" s="27">
        <f>$C$118+$J$278</f>
        <v>-700.17743964602153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499.75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5922.6750000000002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0.5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>
        <f ca="1">$P$117</f>
        <v>3.5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7.0000000000000007E-2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>
        <f>$J$9</f>
        <v>449.70343964602159</v>
      </c>
      <c r="K288" s="27">
        <f>$C$117+$J$288</f>
        <v>-100.31556035397841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>
        <f>$J$10</f>
        <v>449.79656035397841</v>
      </c>
      <c r="K289" s="27">
        <f>$C$117-$J$289</f>
        <v>-999.81556035397841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24.15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>
        <f>$J$13</f>
        <v>-0.48299999999999998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>
        <f>$C$64/$C$63+1</f>
        <v>7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>
        <f>$C$65/$C$63+1</f>
        <v>6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3</v>
      </c>
    </row>
    <row r="309" spans="2:20" x14ac:dyDescent="0.4">
      <c r="H309" s="10" t="s">
        <v>399</v>
      </c>
      <c r="I309" s="11" t="s">
        <v>75</v>
      </c>
      <c r="J309" s="41">
        <f>QUOTIENT($C$66,2)</f>
        <v>3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ディンプル1列目-トップ端 湾曲中心間X距離</v>
      </c>
      <c r="I311" s="11" t="s">
        <v>79</v>
      </c>
      <c r="J311" s="27">
        <f>IF($C$66&gt;=$C$122-5,$P$104-$P$31, "-")</f>
        <v>7.35981929400441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ディンプル2列目-トップ端 湾曲中心間X距離</v>
      </c>
      <c r="I312" s="11" t="s">
        <v>79</v>
      </c>
      <c r="J312" s="27">
        <f>IF($C$66&gt;=$C122-4,$P$105-$P$31, "-")</f>
        <v>8.237802765404922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ディンプル3列目-トップ端 湾曲中心間X距離</v>
      </c>
      <c r="I313" s="11" t="s">
        <v>79</v>
      </c>
      <c r="J313" s="27">
        <f>IF($C$66&gt;=$C$122-3,$P$106-$P$31, "-")</f>
        <v>9.0480684507256228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ディンプル4列目-トップ端 湾曲中心間X距離</v>
      </c>
      <c r="I314" s="11" t="s">
        <v>79</v>
      </c>
      <c r="J314" s="27">
        <f>IF($C$66&gt;=$C$122-2,$P$107-$P$31, "-")</f>
        <v>9.7906441602917766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IF($C$66&gt;=$C122-1,$P$108-$P$31,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IF($C$66&gt;=$C122,$P$109-$P$31,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$P$110-$P$31</f>
        <v>10.465555367770321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$P$111-$P$31</f>
        <v>11.072825214545446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（傾き前）1列目Z座標</v>
      </c>
      <c r="I319" s="11" t="s">
        <v>76</v>
      </c>
      <c r="J319" s="49">
        <f>IF($C$66&gt;=3,$J$9-$C$61,"-")</f>
        <v>319.70343964602159</v>
      </c>
      <c r="K319" s="27">
        <f>IF($C$66&gt;=3,$C$118+J319,"-")</f>
        <v>-830.27056035397834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（傾き前）2列目Z座標</v>
      </c>
      <c r="I320" s="11" t="s">
        <v>76</v>
      </c>
      <c r="J320" s="49">
        <f>IF($C$66&gt;=4,$J$9-$C$61-$C$62,"-")</f>
        <v>299.70343964602159</v>
      </c>
      <c r="K320" s="27">
        <f>IF($C$66&gt;=4,$C$118+J320,"-")</f>
        <v>-850.27056035397834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（傾き前）3列目Z座標</v>
      </c>
      <c r="I321" s="11" t="s">
        <v>76</v>
      </c>
      <c r="J321" s="49">
        <f>IF($C$66&gt;=5,$J$9-$C$61-2*$C$62,"-")</f>
        <v>279.70343964602159</v>
      </c>
      <c r="K321" s="27">
        <f>IF($C$66&gt;=5,$C$118+J321,"-")</f>
        <v>-870.27056035397834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（傾き前）4列目Z座標</v>
      </c>
      <c r="I322" s="11" t="s">
        <v>76</v>
      </c>
      <c r="J322" s="49">
        <f>IF($C$66&gt;=6,$J$9-$C$61-3*$C$62,"-")</f>
        <v>259.70343964602159</v>
      </c>
      <c r="K322" s="27">
        <f>IF($C$66&gt;=6,$C$118+J322,"-")</f>
        <v>-890.27056035397834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>
        <f>$J$9-$C$61-($C$66-2)*$C$62</f>
        <v>239.70343964602159</v>
      </c>
      <c r="K325" s="27">
        <f>$C$118+J325</f>
        <v>-910.27056035397834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>
        <f>$J$9-$C$61-($C$66-1)*$C$62</f>
        <v>219.70343964602159</v>
      </c>
      <c r="K326" s="27">
        <f>$C$118+J326</f>
        <v>-930.27056035397834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>
        <f ca="1">$P$112+$C$19*2</f>
        <v>156.9540153433494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1列目 AC内径（水平・めっき含・概算）</v>
      </c>
      <c r="I328" s="27" t="s">
        <v>79</v>
      </c>
      <c r="J328" s="27">
        <f ca="1">IF($C$66&gt;=3,($P$88*$P$126+$P$96*$P$118)/($P$80-$P$72)+$C$19*2,"-")</f>
        <v>156.31846012189163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>
        <f ca="1">($P$95*$P$133+$P$103*$P$125)/($P$87-$P$79)+$C$19*2</f>
        <v>155.87054257469595</v>
      </c>
    </row>
    <row r="330" spans="2:20" x14ac:dyDescent="0.4">
      <c r="H330" s="10" t="s">
        <v>404</v>
      </c>
      <c r="I330" s="27" t="s">
        <v>77</v>
      </c>
      <c r="J330" s="27">
        <f ca="1">$J$13+$J$131</f>
        <v>-3.5409999999999999</v>
      </c>
      <c r="K330" s="27">
        <f ca="1">-$C$119+$J$330</f>
        <v>-3.6139999999999999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>
        <f ca="1">DEGREES($P$148)</f>
        <v>2.2830516246447536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>
        <f ca="1">$J$13+$J$331</f>
        <v>1.8000516246447535</v>
      </c>
      <c r="K332" s="47">
        <f ca="1">-$C$119+$J$332</f>
        <v>1.7270516246447536</v>
      </c>
    </row>
    <row r="333" spans="2:20" x14ac:dyDescent="0.4">
      <c r="H333" s="10" t="s">
        <v>407</v>
      </c>
      <c r="I333" s="50" t="s">
        <v>79</v>
      </c>
      <c r="J333" s="27">
        <f ca="1">MIN($P$151, $P$152)</f>
        <v>17.011452303904377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>
        <f ca="1">($P$88*$P$161+$P$96*$P$153)/($P$80-$P$72)+$C$19*2</f>
        <v>155.30857677160463</v>
      </c>
    </row>
    <row r="335" spans="2:20" x14ac:dyDescent="0.4">
      <c r="H335" s="10" t="s">
        <v>254</v>
      </c>
      <c r="I335" s="11" t="s">
        <v>78</v>
      </c>
      <c r="J335" s="27">
        <f ca="1">($P$95*$P$168+$P$103*$P$160)/($P$87-$P$79)+$C$19*2</f>
        <v>154.86355555513762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ディンプル1列目-トップ端 湾曲中心間X距離</v>
      </c>
      <c r="I337" s="11" t="s">
        <v>79</v>
      </c>
      <c r="J337" s="27">
        <f ca="1">IF($C$66&gt;=$C$122-5,$J$311*$P$142-$C$61*$P$141, "-")</f>
        <v>0.41425095578780269</v>
      </c>
    </row>
    <row r="338" spans="8:10" x14ac:dyDescent="0.4">
      <c r="H338" s="10" t="str">
        <f>IF($C$66&gt;=4,"ディンプル2列目-トップ端 湾曲中心間X距離", "-")</f>
        <v>ディンプル2列目-トップ端 湾曲中心間X距離</v>
      </c>
      <c r="I338" s="11" t="s">
        <v>79</v>
      </c>
      <c r="J338" s="27">
        <f ca="1">IF($C$66&gt;=$C$122-4,$J$312*$P$142-($C$61+$C62)*$P$141, "-")</f>
        <v>0.22404755902067386</v>
      </c>
    </row>
    <row r="339" spans="8:10" x14ac:dyDescent="0.4">
      <c r="H339" s="10" t="str">
        <f>IF($C$66&gt;=5,"ディンプル3列目-トップ端 湾曲中心間X距離", "-")</f>
        <v>ディンプル3列目-トップ端 湾曲中心間X距離</v>
      </c>
      <c r="I339" s="11" t="s">
        <v>79</v>
      </c>
      <c r="J339" s="27">
        <f ca="1">IF($C$66&gt;=$C$122-3,$J$313*$P$142-($C$61+2*$C$62)*$P$141, "-")</f>
        <v>-3.3777196670591536E-2</v>
      </c>
    </row>
    <row r="340" spans="8:10" x14ac:dyDescent="0.4">
      <c r="H340" s="10" t="str">
        <f>IF($C$66&gt;=6,"ディンプル4列目-トップ端 湾曲中心間X距離", "-")</f>
        <v>ディンプル4列目-トップ端 湾曲中心間X距離</v>
      </c>
      <c r="I340" s="11" t="s">
        <v>79</v>
      </c>
      <c r="J340" s="27">
        <f ca="1">IF($C$66&gt;=$C$122-2,$J$314*$P$142-($C$61+3*$C$62)*$P$141, "-")</f>
        <v>-0.35919554056141045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IF($C$66&gt;=$C$122-1,$J$315*$P$142-($C$61+4*$C$62)*$P$141,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IF($C$66&gt;=$C$122,$J$316*$P$142-($C$61+5*$C$62)*$P$141, "-")</f>
        <v>-</v>
      </c>
    </row>
    <row r="343" spans="8:10" x14ac:dyDescent="0.4">
      <c r="H343" s="10" t="s">
        <v>401</v>
      </c>
      <c r="I343" s="11" t="s">
        <v>79</v>
      </c>
      <c r="J343" s="27">
        <f ca="1">$J$317*$P$142-($C$61+($C$66-2)*$C$62)*$P$141</f>
        <v>-0.75218203525822958</v>
      </c>
    </row>
    <row r="344" spans="8:10" x14ac:dyDescent="0.4">
      <c r="H344" s="10" t="s">
        <v>402</v>
      </c>
      <c r="I344" s="11" t="s">
        <v>79</v>
      </c>
      <c r="J344" s="27">
        <f ca="1">$J$318*$P$142-($C$61+($C$66-1)*$C$62)*$P$141</f>
        <v>-1.2127135723291786</v>
      </c>
    </row>
    <row r="345" spans="8:10" x14ac:dyDescent="0.4">
      <c r="H345" s="10" t="str">
        <f>IF($C$66&gt;=3,"ディンプル1列目-トップ端 湾曲中心間Z距離", "-")</f>
        <v>ディンプル1列目-トップ端 湾曲中心間Z距離</v>
      </c>
      <c r="I345" s="11" t="s">
        <v>76</v>
      </c>
      <c r="J345" s="27">
        <f ca="1">IF($C$66&gt;=$C$122-5,$J$311*$P$141+$C$61*$P$142, "-")</f>
        <v>130.20750875501008</v>
      </c>
    </row>
    <row r="346" spans="8:10" x14ac:dyDescent="0.4">
      <c r="H346" s="10" t="str">
        <f>IF($C$66&gt;=4,"ディンプル2列目-トップ端 湾曲中心間Z距離", "-")</f>
        <v>ディンプル2列目-トップ端 湾曲中心間Z距離</v>
      </c>
      <c r="I346" s="11" t="s">
        <v>76</v>
      </c>
      <c r="J346" s="27">
        <f ca="1">IF($C$66&gt;=$C$122-4,$J$312*$P$141+($C$61+$C$62)*$P$142, "-")</f>
        <v>150.22586727023082</v>
      </c>
    </row>
    <row r="347" spans="8:10" x14ac:dyDescent="0.4">
      <c r="H347" s="10" t="str">
        <f>IF($C$66&gt;=5,"ディンプル3列目-トップ端 湾曲中心間Z距離", "-")</f>
        <v>ディンプル3列目-トップ端 湾曲中心間Z距離</v>
      </c>
      <c r="I347" s="11" t="s">
        <v>76</v>
      </c>
      <c r="J347" s="27">
        <f ca="1">IF($C$66&gt;=$C$122-3,$J$313*$P$141+($C$61+2*$C$62)*$P$142, "-")</f>
        <v>170.24061325603242</v>
      </c>
    </row>
    <row r="348" spans="8:10" x14ac:dyDescent="0.4">
      <c r="H348" s="10" t="str">
        <f>IF($C$66&gt;=6,"ディンプル4列目-トップ端 湾曲中心間Z距離", "-")</f>
        <v>ディンプル4列目-トップ端 湾曲中心間Z距離</v>
      </c>
      <c r="I348" s="11" t="s">
        <v>76</v>
      </c>
      <c r="J348" s="27">
        <f ca="1">IF($C$66&gt;=$C$122-2,$J$314*$P$141+($C$61+3*$C$62)*$P$142, "-")</f>
        <v>190.25174819600764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IF($C$66&gt;=$C$122-1,$J$315*$P$141+($C$61+4*$C$62)*$P$142,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IF($C$66&gt;=$C$122-0,$J$316*$P$141+($C$61+5*$C$62)*$P$142, "-")</f>
        <v>-</v>
      </c>
    </row>
    <row r="351" spans="8:10" x14ac:dyDescent="0.4">
      <c r="H351" s="10" t="s">
        <v>411</v>
      </c>
      <c r="I351" s="11" t="s">
        <v>76</v>
      </c>
      <c r="J351" s="27">
        <f ca="1">$J$317*$P$141+($C$61+($C$66-2)*$C$62)*$P$142</f>
        <v>210.25927344909593</v>
      </c>
    </row>
    <row r="352" spans="8:10" x14ac:dyDescent="0.4">
      <c r="H352" s="10" t="s">
        <v>412</v>
      </c>
      <c r="I352" s="11" t="s">
        <v>76</v>
      </c>
      <c r="J352" s="27">
        <f ca="1">$J$318*$P$141+($C$61+($C$66-1)*$C$62)*$P$142</f>
        <v>230.26319024981686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>
        <f>$K$24-$C117</f>
        <v>-16.407464003218593</v>
      </c>
      <c r="K354" s="27">
        <f>$C$117+J354</f>
        <v>-566.4264640032186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>
        <f>$J$9</f>
        <v>449.70343964602159</v>
      </c>
      <c r="K355" s="27">
        <f>$C$118+J355</f>
        <v>-700.27056035397834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>
        <f ca="1">$J$354*$P$142+$J$355*$P$141</f>
        <v>7.6061537601040499</v>
      </c>
      <c r="K356" s="27">
        <f ca="1">$C$117+J356</f>
        <v>-542.412846239896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>
        <f ca="1">-$J$354*$P$141+$J$355*$P$142</f>
        <v>449.93836792327181</v>
      </c>
      <c r="K357" s="27">
        <f ca="1">$C$118+J357</f>
        <v>-700.03563207672812</v>
      </c>
    </row>
    <row r="358" spans="7:11" x14ac:dyDescent="0.4">
      <c r="H358" s="9" t="s">
        <v>287</v>
      </c>
      <c r="I358" s="47" t="s">
        <v>79</v>
      </c>
      <c r="J358" s="27">
        <f ca="1">$J$356-$J$354</f>
        <v>24.013617763322642</v>
      </c>
    </row>
    <row r="359" spans="7:11" x14ac:dyDescent="0.4">
      <c r="H359" s="9" t="s">
        <v>659</v>
      </c>
      <c r="I359" s="50" t="s">
        <v>76</v>
      </c>
      <c r="J359" s="27">
        <f ca="1">$J$357-$J$355</f>
        <v>0.23492827725021925</v>
      </c>
    </row>
  </sheetData>
  <phoneticPr fontId="1"/>
  <conditionalFormatting sqref="B11:C11">
    <cfRule type="expression" dxfId="168" priority="6">
      <formula>$C$6&lt;&gt;1</formula>
    </cfRule>
  </conditionalFormatting>
  <conditionalFormatting sqref="B24:C25 B26:E29 B30:C30">
    <cfRule type="expression" dxfId="167" priority="2">
      <formula>$C$23&lt;&gt;1</formula>
    </cfRule>
  </conditionalFormatting>
  <conditionalFormatting sqref="B26:C26">
    <cfRule type="expression" dxfId="166" priority="44">
      <formula>$C$25&lt;&gt;0</formula>
    </cfRule>
  </conditionalFormatting>
  <conditionalFormatting sqref="B33:C33 B35:C35 B36:E39 B40:C40 G150:K150 G151:J154">
    <cfRule type="expression" dxfId="165" priority="51">
      <formula>$C$32&lt;&gt;1</formula>
    </cfRule>
  </conditionalFormatting>
  <conditionalFormatting sqref="B34:C34">
    <cfRule type="expression" dxfId="164" priority="3">
      <formula>$C$23&lt;&gt;1</formula>
    </cfRule>
  </conditionalFormatting>
  <conditionalFormatting sqref="B43:C43 B44:E44">
    <cfRule type="expression" dxfId="163" priority="144">
      <formula>NOT(AND($C$23=1, $C$32=1))</formula>
    </cfRule>
  </conditionalFormatting>
  <conditionalFormatting sqref="B53:C53">
    <cfRule type="expression" dxfId="162" priority="5">
      <formula>$C$47=1</formula>
    </cfRule>
  </conditionalFormatting>
  <conditionalFormatting sqref="B57:C57">
    <cfRule type="expression" dxfId="161" priority="105">
      <formula>$C$46&lt;&gt;1</formula>
    </cfRule>
  </conditionalFormatting>
  <conditionalFormatting sqref="B58:C58">
    <cfRule type="expression" dxfId="160" priority="104">
      <formula>$C$46&lt;&gt;2</formula>
    </cfRule>
  </conditionalFormatting>
  <conditionalFormatting sqref="B61:C68 H120:K120 H121:J131">
    <cfRule type="expression" dxfId="159" priority="33">
      <formula>$C$60&lt;&gt;1</formula>
    </cfRule>
  </conditionalFormatting>
  <conditionalFormatting sqref="B71:C72">
    <cfRule type="expression" dxfId="158" priority="100">
      <formula>$C$70&lt;&gt;1</formula>
    </cfRule>
  </conditionalFormatting>
  <conditionalFormatting sqref="B75:C75">
    <cfRule type="expression" dxfId="157" priority="91">
      <formula>$C74&lt;&gt;1</formula>
    </cfRule>
  </conditionalFormatting>
  <conditionalFormatting sqref="B78:C79">
    <cfRule type="expression" dxfId="156" priority="99">
      <formula>$C$77&lt;&gt;1</formula>
    </cfRule>
  </conditionalFormatting>
  <conditionalFormatting sqref="B82:C82">
    <cfRule type="expression" dxfId="155" priority="90">
      <formula>$C$81&lt;&gt;1</formula>
    </cfRule>
  </conditionalFormatting>
  <conditionalFormatting sqref="B85:C86">
    <cfRule type="expression" dxfId="154" priority="83">
      <formula>$C$84&lt;&gt;1</formula>
    </cfRule>
  </conditionalFormatting>
  <conditionalFormatting sqref="B89:C89">
    <cfRule type="expression" dxfId="153" priority="89">
      <formula>$C$88&lt;&gt;1</formula>
    </cfRule>
  </conditionalFormatting>
  <conditionalFormatting sqref="B92:C93">
    <cfRule type="expression" dxfId="152" priority="88">
      <formula>$C$91&lt;&gt;1</formula>
    </cfRule>
  </conditionalFormatting>
  <conditionalFormatting sqref="B96:C96">
    <cfRule type="expression" dxfId="151" priority="87">
      <formula>$C$95&lt;&gt;1</formula>
    </cfRule>
  </conditionalFormatting>
  <conditionalFormatting sqref="B99:C103 G166:K166">
    <cfRule type="expression" dxfId="150" priority="46">
      <formula>$C$98&lt;&gt;1</formula>
    </cfRule>
  </conditionalFormatting>
  <conditionalFormatting sqref="B106:C109 G173:K173 G174:J175">
    <cfRule type="expression" dxfId="149" priority="28">
      <formula>$C$105&lt;&gt;1</formula>
    </cfRule>
  </conditionalFormatting>
  <conditionalFormatting sqref="B36:E36">
    <cfRule type="expression" dxfId="148" priority="159">
      <formula>AND($C$23&lt;&gt;0, $C$43&lt;&gt;2)</formula>
    </cfRule>
  </conditionalFormatting>
  <conditionalFormatting sqref="B39:E39">
    <cfRule type="expression" dxfId="147" priority="50">
      <formula>$C$35&lt;&gt;1</formula>
    </cfRule>
  </conditionalFormatting>
  <conditionalFormatting sqref="B48:E48 C49:E49">
    <cfRule type="expression" dxfId="146" priority="107">
      <formula>$C$46=4</formula>
    </cfRule>
  </conditionalFormatting>
  <conditionalFormatting sqref="B52:E52">
    <cfRule type="expression" dxfId="145" priority="150">
      <formula>$C$47=0</formula>
    </cfRule>
  </conditionalFormatting>
  <conditionalFormatting sqref="C7">
    <cfRule type="expression" dxfId="144" priority="143">
      <formula>$C$7&gt;2*P191</formula>
    </cfRule>
  </conditionalFormatting>
  <conditionalFormatting sqref="C9">
    <cfRule type="expression" dxfId="143" priority="136">
      <formula>OR(C9&lt;0, $J$9&lt;364, $J$10&lt;345)</formula>
    </cfRule>
  </conditionalFormatting>
  <conditionalFormatting sqref="C14:C15">
    <cfRule type="expression" dxfId="142" priority="137">
      <formula>$C$14&lt;=0</formula>
    </cfRule>
  </conditionalFormatting>
  <conditionalFormatting sqref="C16">
    <cfRule type="expression" dxfId="141" priority="110">
      <formula>OR($C$16&lt;=0, $C$16&gt;=MIN($C$14, $C$15)/4)</formula>
    </cfRule>
  </conditionalFormatting>
  <conditionalFormatting sqref="C23">
    <cfRule type="expression" dxfId="140" priority="109">
      <formula>OR(ISBLANK($C$23), AND($C$23&lt;&gt;0, $C$23&lt;&gt;1))</formula>
    </cfRule>
  </conditionalFormatting>
  <conditionalFormatting sqref="C24">
    <cfRule type="expression" dxfId="139" priority="75">
      <formula>OR(ISBLANK($C$24), AND($C$24&lt;&gt;0, $C$24&lt;&gt;1))</formula>
    </cfRule>
  </conditionalFormatting>
  <conditionalFormatting sqref="C25">
    <cfRule type="expression" dxfId="138" priority="43">
      <formula>OR(ISBLANK($C$25), AND($C$25&lt;&gt;0, $C$25&lt;&gt;1))</formula>
    </cfRule>
  </conditionalFormatting>
  <conditionalFormatting sqref="C26">
    <cfRule type="expression" dxfId="137" priority="1355">
      <formula>IF($C$23=1,OR($C$26&lt;=0, $C$26&gt;=($C$14-$P$115)/2), $C$26&lt;&gt;"")</formula>
    </cfRule>
  </conditionalFormatting>
  <conditionalFormatting sqref="C27:C28">
    <cfRule type="expression" dxfId="136" priority="140">
      <formula>IF($C$23=1, OR($C$27&lt;=$C$14/2, $C$27&gt;=$C$14), $C$27&lt;&gt;"")</formula>
    </cfRule>
  </conditionalFormatting>
  <conditionalFormatting sqref="C28">
    <cfRule type="expression" dxfId="135" priority="161">
      <formula>IF($C$23=1, $C$28&gt;=$C$15, $C$28&lt;&gt;"")</formula>
    </cfRule>
  </conditionalFormatting>
  <conditionalFormatting sqref="C29">
    <cfRule type="expression" dxfId="134" priority="142">
      <formula>IF($C$23=1,OR($C$29&lt;=0, $C$29&gt;=#REF!/4),$C$29&lt;&gt;"")</formula>
    </cfRule>
  </conditionalFormatting>
  <conditionalFormatting sqref="C30">
    <cfRule type="expression" dxfId="133" priority="74">
      <formula>OR($C$30&lt;1, $C$30&gt;=MIN($C$27, $C$28)/4)</formula>
    </cfRule>
  </conditionalFormatting>
  <conditionalFormatting sqref="C32">
    <cfRule type="expression" dxfId="132" priority="121">
      <formula>OR(ISBLANK($C$32), AND($C$32&lt;&gt;0, $C$32&lt;&gt;1))</formula>
    </cfRule>
  </conditionalFormatting>
  <conditionalFormatting sqref="C33">
    <cfRule type="expression" dxfId="131" priority="101">
      <formula>OR(ISBLANK($C$33), AND($C$33&lt;&gt;0, $C$33&lt;&gt;1))</formula>
    </cfRule>
  </conditionalFormatting>
  <conditionalFormatting sqref="C34">
    <cfRule type="expression" dxfId="130" priority="4">
      <formula>OR(ISBLANK($C$34), AND($C$34&lt;&gt;0, $C$34&lt;&gt;1))</formula>
    </cfRule>
  </conditionalFormatting>
  <conditionalFormatting sqref="C35">
    <cfRule type="expression" dxfId="129" priority="78">
      <formula>OR(ISBLANK($C$35), AND($C$35&lt;&gt;0, $C$35&lt;&gt;1))</formula>
    </cfRule>
  </conditionalFormatting>
  <conditionalFormatting sqref="C36">
    <cfRule type="expression" dxfId="128" priority="1356">
      <formula>IF($C$32=1,OR($C$36&lt;=0, $C$36&gt;=($C$14-$P$112)/2),$C$36&lt;&gt;"")</formula>
    </cfRule>
  </conditionalFormatting>
  <conditionalFormatting sqref="C37:C38">
    <cfRule type="expression" dxfId="127" priority="162">
      <formula>OR($C$37&lt;=$C$14/2, $C$37&gt;=$C$14, $C$37&lt;=$C$48)</formula>
    </cfRule>
  </conditionalFormatting>
  <conditionalFormatting sqref="C38">
    <cfRule type="expression" dxfId="126" priority="163">
      <formula>IF($C$32=1,OR($C$38&lt;=$C$49, $C$38&gt;=$C$15),$C$38&lt;&gt;"")</formula>
    </cfRule>
  </conditionalFormatting>
  <conditionalFormatting sqref="C39">
    <cfRule type="expression" dxfId="125" priority="52">
      <formula>IF($C$32=1,OR($C$39&lt;=0, $C$39&gt;=$C$9/4),$C$39&lt;&gt;"")</formula>
    </cfRule>
  </conditionalFormatting>
  <conditionalFormatting sqref="C40">
    <cfRule type="expression" dxfId="124" priority="120">
      <formula>OR($C$40&lt;=0, $C$40&gt;=MIN($C$37, $C$38)/4, $C$40&lt;1)</formula>
    </cfRule>
  </conditionalFormatting>
  <conditionalFormatting sqref="C43">
    <cfRule type="expression" dxfId="123" priority="156">
      <formula>IF(AND($C$23=1, $C$32=1), AND($C$43&lt;&gt;1, $C$43&lt;&gt;2), $C$43&lt;&gt;"")</formula>
    </cfRule>
  </conditionalFormatting>
  <conditionalFormatting sqref="C44">
    <cfRule type="expression" dxfId="122" priority="155">
      <formula>AND(AND($C$23=1, $C$32=1), OR(ISBLANK($C$44), $C$44&lt;0, $C$44&gt;=$C$27/4))</formula>
    </cfRule>
  </conditionalFormatting>
  <conditionalFormatting sqref="C46">
    <cfRule type="expression" dxfId="121" priority="122">
      <formula>OR(ISBLANK($C$46), AND($C$46&lt;&gt;1, $C$46&lt;&gt;2,$C$46&lt;&gt;3, $C$46&lt;&gt;4))</formula>
    </cfRule>
  </conditionalFormatting>
  <conditionalFormatting sqref="C47">
    <cfRule type="expression" dxfId="120" priority="108">
      <formula>OR(ISBLANK($C$47), AND($C$47&lt;&gt;0, $C$47&lt;&gt;1))</formula>
    </cfRule>
  </conditionalFormatting>
  <conditionalFormatting sqref="C48:C49">
    <cfRule type="expression" dxfId="119" priority="151">
      <formula>IF($C$46&lt;&gt;4,OR($C$48&gt;=$C$14, AND($C$32=1, $C$48&gt;=$C$37),$C$48&lt;=$C$14/2),$C$48&lt;&gt;"")</formula>
    </cfRule>
  </conditionalFormatting>
  <conditionalFormatting sqref="C50">
    <cfRule type="expression" dxfId="118" priority="141">
      <formula>OR($C$50&lt;=0, $C$50&gt;$C$9/2)</formula>
    </cfRule>
  </conditionalFormatting>
  <conditionalFormatting sqref="C51">
    <cfRule type="expression" dxfId="117" priority="148">
      <formula>OR($C$51&lt;=0, $C$51+$C$50&gt;$S$2)</formula>
    </cfRule>
  </conditionalFormatting>
  <conditionalFormatting sqref="C52">
    <cfRule type="expression" dxfId="116" priority="1357">
      <formula>IF($C$47=1,OR($C$52&lt;=0, $C$52&gt;=($C$14-$P$175)/2),$C$52&lt;&gt;"")</formula>
    </cfRule>
  </conditionalFormatting>
  <conditionalFormatting sqref="C57">
    <cfRule type="expression" dxfId="115" priority="106">
      <formula>AND($C$46=1, OR($C$57&lt;=0, $C$57&gt;=MIN($C$48, $C$49)/4), ISBLANK($C$57))</formula>
    </cfRule>
  </conditionalFormatting>
  <conditionalFormatting sqref="C58">
    <cfRule type="expression" dxfId="114" priority="103">
      <formula>IF($C$46=2,OR($C$58&lt;=0, $C$58&gt;=MIN($C$48, $C$49)/4),$C$58&lt;&gt;"")</formula>
    </cfRule>
  </conditionalFormatting>
  <conditionalFormatting sqref="C60">
    <cfRule type="expression" dxfId="113" priority="40">
      <formula>OR(ISBLANK($C$60), AND($C$60&lt;&gt;0, $C$60&lt;&gt;1))</formula>
    </cfRule>
  </conditionalFormatting>
  <conditionalFormatting sqref="C64">
    <cfRule type="expression" dxfId="112" priority="146">
      <formula>OR($C$64&lt;=0, MOD($C$64,$C$63)&lt;&gt;0, $C$64&gt;=#REF!)</formula>
    </cfRule>
  </conditionalFormatting>
  <conditionalFormatting sqref="C66">
    <cfRule type="expression" dxfId="111" priority="145">
      <formula>OR(C66-QUOTIENT(C66,1)&lt;&gt;0, C66&lt;0, C66&gt;$C$122)</formula>
    </cfRule>
  </conditionalFormatting>
  <conditionalFormatting sqref="C68">
    <cfRule type="expression" dxfId="110" priority="80">
      <formula>OR(ISBLANK($C$68), AND($C$68&lt;&gt;20, $C$68&lt;&gt;6.6, $C$68&lt;&gt;15))</formula>
    </cfRule>
  </conditionalFormatting>
  <conditionalFormatting sqref="C70">
    <cfRule type="expression" dxfId="109" priority="119">
      <formula>OR(ISBLANK($C$70), AND($C$70&lt;&gt;0, $C$70&lt;&gt;1), AND($C$74&lt;&gt;0, $C$70=1))</formula>
    </cfRule>
  </conditionalFormatting>
  <conditionalFormatting sqref="C71">
    <cfRule type="expression" dxfId="108" priority="118">
      <formula>IF($C$70=1,OR($C$71&lt;=0, $C$71&gt;=#REF!/4),$C$71&lt;&gt;"")</formula>
    </cfRule>
  </conditionalFormatting>
  <conditionalFormatting sqref="C72">
    <cfRule type="expression" dxfId="107" priority="114">
      <formula>IF($C$70=1,AND($C$72&lt;&gt;15, $C$72&lt;&gt;30, $C$72&lt;&gt;45),$C$72&lt;&gt;"")</formula>
    </cfRule>
  </conditionalFormatting>
  <conditionalFormatting sqref="C74">
    <cfRule type="expression" dxfId="106" priority="98">
      <formula>OR(ISBLANK($C$74), AND($C$74&lt;&gt;0, $C$74&lt;&gt;1), AND($C$70&lt;&gt;0, $C$74=1))</formula>
    </cfRule>
  </conditionalFormatting>
  <conditionalFormatting sqref="C75">
    <cfRule type="expression" dxfId="105" priority="97">
      <formula>IF($C$74=1,OR($C$75&lt;=0, $C$75&gt;=#REF!/4),$C$75&lt;&gt;"")</formula>
    </cfRule>
  </conditionalFormatting>
  <conditionalFormatting sqref="C77">
    <cfRule type="expression" dxfId="104" priority="116">
      <formula>OR(ISBLANK($C$77), AND($C$77&lt;&gt;0, $C$77&lt;&gt;1), AND($C$81&lt;&gt;0, $C$77=1))</formula>
    </cfRule>
  </conditionalFormatting>
  <conditionalFormatting sqref="C78">
    <cfRule type="expression" dxfId="103" priority="117">
      <formula>IF($C$77=1,OR($C$78&lt;=0, $C$78&gt;=#REF!/4),$C$78&lt;&gt;"")</formula>
    </cfRule>
  </conditionalFormatting>
  <conditionalFormatting sqref="C79">
    <cfRule type="expression" dxfId="102" priority="115">
      <formula>IF($C$77=1,AND($C$79&lt;&gt;15, $C$79&lt;&gt;30, $C$79&lt;&gt;45),$C$79&lt;&gt;"")</formula>
    </cfRule>
  </conditionalFormatting>
  <conditionalFormatting sqref="C81">
    <cfRule type="expression" dxfId="101" priority="96">
      <formula>OR(ISBLANK($C$81), AND($C$81&lt;&gt;0, $C$81&lt;&gt;1), AND($C$77&lt;&gt;0, $C$81=1))</formula>
    </cfRule>
  </conditionalFormatting>
  <conditionalFormatting sqref="C82">
    <cfRule type="expression" dxfId="100" priority="95">
      <formula>IF($C$81=1,OR($C$82&lt;=0, $C$82&gt;=#REF!/4),$C$82&lt;&gt;"")</formula>
    </cfRule>
  </conditionalFormatting>
  <conditionalFormatting sqref="C84">
    <cfRule type="expression" dxfId="99" priority="84">
      <formula>OR(ISBLANK($C$84), AND($C$84&lt;&gt;0, $C$84&lt;&gt;1), AND($C$88&lt;&gt;0, $C$84=1))</formula>
    </cfRule>
  </conditionalFormatting>
  <conditionalFormatting sqref="C85">
    <cfRule type="expression" dxfId="98" priority="86">
      <formula>IF($C$84=1,OR($C$85&lt;=0, $C$85&gt;=$C$9/4),$C$85&lt;&gt;"")</formula>
    </cfRule>
  </conditionalFormatting>
  <conditionalFormatting sqref="C86">
    <cfRule type="expression" dxfId="97" priority="85">
      <formula>IF($C$84=1,AND($C$86&lt;&gt;15, $C$86&lt;&gt;30, $C$86&lt;&gt;45),$C$86&lt;&gt;"")</formula>
    </cfRule>
  </conditionalFormatting>
  <conditionalFormatting sqref="C88">
    <cfRule type="expression" dxfId="96" priority="153">
      <formula>OR(ISBLANK($C$88), AND($C$88&lt;&gt;0, $C$88&lt;&gt;1), AND($C$84&lt;&gt;0, $C$88&lt;&gt;0))</formula>
    </cfRule>
  </conditionalFormatting>
  <conditionalFormatting sqref="C89">
    <cfRule type="expression" dxfId="95" priority="94">
      <formula>IF($C$88=1,OR($C$89&lt;=0, $C$89&gt;=$C$9/4),$C$89&lt;&gt;"")</formula>
    </cfRule>
  </conditionalFormatting>
  <conditionalFormatting sqref="C91">
    <cfRule type="expression" dxfId="94" priority="112">
      <formula>OR(ISBLANK($C$91), AND($C$91&lt;&gt;0, $C$91&lt;&gt;1), AND($C$95&lt;&gt;0, $C$91&lt;&gt;0))</formula>
    </cfRule>
  </conditionalFormatting>
  <conditionalFormatting sqref="C92">
    <cfRule type="expression" dxfId="93" priority="113">
      <formula>IF($C$91=1,OR($C$92&lt;=0, $C$92&gt;=$C9/4),$C$92&lt;&gt;"")</formula>
    </cfRule>
  </conditionalFormatting>
  <conditionalFormatting sqref="C93">
    <cfRule type="expression" dxfId="92" priority="111">
      <formula>IF($C$91=1,AND($C$93&lt;&gt;15, $C$93&lt;&gt;30, $C$93&lt;&gt;45),$C$93&lt;&gt;"")</formula>
    </cfRule>
  </conditionalFormatting>
  <conditionalFormatting sqref="C95">
    <cfRule type="expression" dxfId="91" priority="93">
      <formula>OR(ISBLANK($C$95), AND($C$95&lt;&gt;0, $C$95&lt;&gt;1), AND($C$91&lt;&gt;0, $C$95&lt;&gt;0))</formula>
    </cfRule>
  </conditionalFormatting>
  <conditionalFormatting sqref="C96">
    <cfRule type="expression" dxfId="90" priority="92">
      <formula>IF($C$95=1,OR($C$96&lt;=0, $C$96&gt;=$C$9/4),$C$96&lt;&gt;"")</formula>
    </cfRule>
  </conditionalFormatting>
  <conditionalFormatting sqref="C99">
    <cfRule type="expression" dxfId="89" priority="49">
      <formula>$C$99&gt;=$C$14/2-$C$16</formula>
    </cfRule>
  </conditionalFormatting>
  <conditionalFormatting sqref="C100">
    <cfRule type="expression" dxfId="88" priority="48">
      <formula>$C$99+$C$100&gt;=$C$14/2</formula>
    </cfRule>
  </conditionalFormatting>
  <conditionalFormatting sqref="C101">
    <cfRule type="expression" dxfId="87" priority="1358">
      <formula>$C$101&gt;=($C$15-$P$113)/2</formula>
    </cfRule>
  </conditionalFormatting>
  <conditionalFormatting sqref="C105">
    <cfRule type="expression" dxfId="86" priority="41">
      <formula>OR(ISBLANK($C$105), AND($C$105&lt;&gt;0, $C$105&lt;&gt;1))</formula>
    </cfRule>
  </conditionalFormatting>
  <conditionalFormatting sqref="C112">
    <cfRule type="expression" dxfId="85" priority="139">
      <formula>AND(C112&lt;&gt;330, C112&lt;&gt;270, C112&lt;&gt;250)</formula>
    </cfRule>
  </conditionalFormatting>
  <conditionalFormatting sqref="C113">
    <cfRule type="expression" dxfId="84" priority="138">
      <formula>C113&lt;&gt;40</formula>
    </cfRule>
  </conditionalFormatting>
  <conditionalFormatting sqref="C116">
    <cfRule type="expression" dxfId="83" priority="132">
      <formula>OR(C116&gt;0, ABS(ABS(C116)-740)&gt;=1)</formula>
    </cfRule>
  </conditionalFormatting>
  <conditionalFormatting sqref="C117">
    <cfRule type="expression" dxfId="82" priority="135">
      <formula>OR(C117&gt;0, ABS(ABS(C117)-550)&gt;=1)</formula>
    </cfRule>
  </conditionalFormatting>
  <conditionalFormatting sqref="C118">
    <cfRule type="expression" dxfId="81" priority="133">
      <formula>OR(C118&gt;0, ABS(ABS(C118)-1150)&gt;=1)</formula>
    </cfRule>
  </conditionalFormatting>
  <conditionalFormatting sqref="C119">
    <cfRule type="expression" dxfId="80" priority="134">
      <formula>OR(ABS(C119)&gt;=0.2)</formula>
    </cfRule>
  </conditionalFormatting>
  <conditionalFormatting sqref="C142">
    <cfRule type="expression" dxfId="79" priority="147">
      <formula>OR($C$142&lt;=0, $C$142&gt;=MIN($C$64, $C$65))</formula>
    </cfRule>
  </conditionalFormatting>
  <conditionalFormatting sqref="C143">
    <cfRule type="expression" dxfId="78" priority="124">
      <formula>OR($C$143&lt;=0, $C$143&gt;$C$142)</formula>
    </cfRule>
  </conditionalFormatting>
  <conditionalFormatting sqref="G30:J30">
    <cfRule type="expression" dxfId="77" priority="1653">
      <formula>OR(AND($C$23&lt;&gt;1, $C$70&lt;&gt;1, $C$74&lt;&gt;1), $C$43=2)</formula>
    </cfRule>
  </conditionalFormatting>
  <conditionalFormatting sqref="G31:J31">
    <cfRule type="expression" dxfId="76" priority="1742">
      <formula>$J$30&lt;&gt;$C$147</formula>
    </cfRule>
  </conditionalFormatting>
  <conditionalFormatting sqref="G32:J33 G36:J37 G39:J39">
    <cfRule type="expression" dxfId="75" priority="1669">
      <formula>$J$30&lt;&gt;$C$152</formula>
    </cfRule>
  </conditionalFormatting>
  <conditionalFormatting sqref="G42:J43 G44:K44">
    <cfRule type="expression" dxfId="74" priority="1746">
      <formula>$J$42&lt;&gt;$C$148</formula>
    </cfRule>
  </conditionalFormatting>
  <conditionalFormatting sqref="G63:J66 G67:K67 G68:J71">
    <cfRule type="expression" dxfId="73" priority="180">
      <formula>$J$63=""</formula>
    </cfRule>
  </conditionalFormatting>
  <conditionalFormatting sqref="G64:J64 G72:J73">
    <cfRule type="expression" dxfId="72" priority="1748">
      <formula>$J$63&lt;&gt;$C$147</formula>
    </cfRule>
  </conditionalFormatting>
  <conditionalFormatting sqref="G65:J66 G69:J70 G74:J74">
    <cfRule type="expression" dxfId="71" priority="1671">
      <formula>$J$63&lt;&gt;$C$152</formula>
    </cfRule>
  </conditionalFormatting>
  <conditionalFormatting sqref="G79:J80 G81:K81">
    <cfRule type="expression" dxfId="70" priority="1753">
      <formula>$J$79&lt;&gt;$C$148</formula>
    </cfRule>
  </conditionalFormatting>
  <conditionalFormatting sqref="G84:J85 G86:K86 G87:J89">
    <cfRule type="expression" dxfId="69" priority="1755">
      <formula>$J$84&lt;&gt;$C$150</formula>
    </cfRule>
  </conditionalFormatting>
  <conditionalFormatting sqref="G92:J93 G94:K94 G95:J95">
    <cfRule type="expression" dxfId="68" priority="1758">
      <formula>$J$92&lt;&gt;$C$151</formula>
    </cfRule>
  </conditionalFormatting>
  <conditionalFormatting sqref="G100:J102 G103:K103 G104:J106">
    <cfRule type="expression" dxfId="67" priority="66">
      <formula>NOT($J$100&lt;&gt;"")</formula>
    </cfRule>
  </conditionalFormatting>
  <conditionalFormatting sqref="G110:J111 G112:K112 G113:J114">
    <cfRule type="expression" dxfId="66" priority="1761">
      <formula>OR($J$110&lt;&gt;$C$148, $C$32&lt;&gt;0)</formula>
    </cfRule>
  </conditionalFormatting>
  <conditionalFormatting sqref="G144:J149">
    <cfRule type="expression" dxfId="65" priority="79">
      <formula>$C$32&lt;&gt;1</formula>
    </cfRule>
  </conditionalFormatting>
  <conditionalFormatting sqref="G157:J165">
    <cfRule type="expression" dxfId="64" priority="45">
      <formula>$C$98&lt;&gt;1</formula>
    </cfRule>
  </conditionalFormatting>
  <conditionalFormatting sqref="G169:J172">
    <cfRule type="expression" dxfId="63" priority="29">
      <formula>$C$105&lt;&gt;1</formula>
    </cfRule>
  </conditionalFormatting>
  <conditionalFormatting sqref="G188:J189">
    <cfRule type="expression" dxfId="62" priority="1654">
      <formula>AND($C$32&lt;&gt;0, $C$35&lt;&gt;0)</formula>
    </cfRule>
  </conditionalFormatting>
  <conditionalFormatting sqref="G190:J191">
    <cfRule type="expression" dxfId="61" priority="1588">
      <formula>OR($C$32&lt;&gt;1, AND($C$32&lt;&gt;0, $C$35&lt;&gt;1))</formula>
    </cfRule>
  </conditionalFormatting>
  <conditionalFormatting sqref="G228:J228 G230:J230 G231:K231 G232:J232">
    <cfRule type="expression" dxfId="60" priority="1769">
      <formula>$J$230&lt;&gt;$C$156</formula>
    </cfRule>
  </conditionalFormatting>
  <conditionalFormatting sqref="G235:J235 G236:K236 G237:J241 G242:K242 G243:J244">
    <cfRule type="expression" dxfId="59" priority="73">
      <formula>OR($C$23&lt;&gt;1, AND($C$23&lt;&gt;0, $C$25&lt;&gt;0))</formula>
    </cfRule>
  </conditionalFormatting>
  <conditionalFormatting sqref="G247:J247 G248:K248 G249:J253 G254:K254 G255:J257">
    <cfRule type="expression" dxfId="58" priority="42">
      <formula>$C$25&lt;&gt;1</formula>
    </cfRule>
  </conditionalFormatting>
  <conditionalFormatting sqref="G286:J287 G288:K289 G290:J297">
    <cfRule type="expression" dxfId="57" priority="172">
      <formula>OR($C$23&lt;&gt;1, $C$32&lt;&gt;1)</formula>
    </cfRule>
  </conditionalFormatting>
  <conditionalFormatting sqref="G17:K17">
    <cfRule type="expression" dxfId="56" priority="154">
      <formula>$C$23&lt;&gt;0</formula>
    </cfRule>
  </conditionalFormatting>
  <conditionalFormatting sqref="G18:K18 G22:K22">
    <cfRule type="expression" dxfId="55" priority="1656">
      <formula>OR($C$43&lt;&gt;1, AND($C$23=1, $C$32=0))</formula>
    </cfRule>
  </conditionalFormatting>
  <conditionalFormatting sqref="G19:K19">
    <cfRule type="expression" dxfId="54" priority="1658">
      <formula>OR($C$43&lt;&gt;2, AND($C$23=0, $C$32=1))</formula>
    </cfRule>
  </conditionalFormatting>
  <conditionalFormatting sqref="G21:K21">
    <cfRule type="expression" dxfId="53" priority="152">
      <formula>$C$32&lt;&gt;0</formula>
    </cfRule>
  </conditionalFormatting>
  <conditionalFormatting sqref="G23:K23">
    <cfRule type="expression" dxfId="52" priority="1659">
      <formula>OR($C$32&lt;&gt;1, AND($C$32&lt;&gt;0, $C$23&lt;&gt;0, $C$43&lt;&gt;2))</formula>
    </cfRule>
  </conditionalFormatting>
  <conditionalFormatting sqref="G25:K25">
    <cfRule type="expression" dxfId="51" priority="1660">
      <formula>NOT(AND($C$47&lt;&gt;0,$C$32&lt;&gt;1))</formula>
    </cfRule>
  </conditionalFormatting>
  <conditionalFormatting sqref="G26:K26">
    <cfRule type="expression" dxfId="50" priority="1661">
      <formula>OR($C$32&lt;&gt;0, AND($C$32&lt;&gt;1, $C$47&lt;&gt;0))</formula>
    </cfRule>
  </conditionalFormatting>
  <conditionalFormatting sqref="G242:K242">
    <cfRule type="expression" dxfId="49" priority="102">
      <formula>$C$23&lt;&gt;1</formula>
    </cfRule>
  </conditionalFormatting>
  <conditionalFormatting sqref="H76:J76">
    <cfRule type="expression" dxfId="48" priority="55">
      <formula>NOT($J$42="")</formula>
    </cfRule>
  </conditionalFormatting>
  <conditionalFormatting sqref="H118:J119">
    <cfRule type="expression" dxfId="47" priority="32">
      <formula>$C$60&lt;&gt;1</formula>
    </cfRule>
  </conditionalFormatting>
  <conditionalFormatting sqref="H134:J134">
    <cfRule type="expression" dxfId="46" priority="31">
      <formula>$C$60&lt;&gt;1</formula>
    </cfRule>
  </conditionalFormatting>
  <conditionalFormatting sqref="H60:K60">
    <cfRule type="expression" dxfId="45" priority="58">
      <formula>NOT($J$42="")</formula>
    </cfRule>
  </conditionalFormatting>
  <conditionalFormatting sqref="H75:K76">
    <cfRule type="expression" dxfId="44" priority="57">
      <formula>NOT($J$63="")</formula>
    </cfRule>
  </conditionalFormatting>
  <conditionalFormatting sqref="H97:K97">
    <cfRule type="expression" dxfId="43" priority="56">
      <formula>NOT($J$79="")</formula>
    </cfRule>
  </conditionalFormatting>
  <conditionalFormatting sqref="H107:K107">
    <cfRule type="expression" dxfId="42" priority="1550">
      <formula>AND($C$32&lt;&gt;1, $C$47&lt;&gt;1)</formula>
    </cfRule>
  </conditionalFormatting>
  <conditionalFormatting sqref="H115:K115">
    <cfRule type="expression" dxfId="41" priority="53">
      <formula>NOT($J$110="")</formula>
    </cfRule>
  </conditionalFormatting>
  <conditionalFormatting sqref="I2:I3">
    <cfRule type="expression" dxfId="40" priority="26">
      <formula>I2="Z"</formula>
    </cfRule>
    <cfRule type="expression" dxfId="39" priority="27">
      <formula>I2="B"</formula>
    </cfRule>
    <cfRule type="expression" dxfId="38" priority="25">
      <formula>I2="X"</formula>
    </cfRule>
    <cfRule type="expression" dxfId="37" priority="24">
      <formula>I2="Y"</formula>
    </cfRule>
    <cfRule type="expression" dxfId="36" priority="23">
      <formula>$C$60&lt;&gt;1</formula>
    </cfRule>
  </conditionalFormatting>
  <conditionalFormatting sqref="I4:I5">
    <cfRule type="expression" dxfId="35" priority="9">
      <formula>I4="Y"</formula>
    </cfRule>
    <cfRule type="expression" dxfId="34" priority="10">
      <formula>I4="X"</formula>
    </cfRule>
    <cfRule type="expression" dxfId="33" priority="11">
      <formula>I4="Z"</formula>
    </cfRule>
    <cfRule type="expression" dxfId="32" priority="12">
      <formula>I4="B"</formula>
    </cfRule>
  </conditionalFormatting>
  <conditionalFormatting sqref="I7:I116 I118:I132 I134:I135 I137:I210 I212:I225 I227:I271 I273:I283 I285:I304 I306:I1048576">
    <cfRule type="expression" dxfId="31" priority="1682">
      <formula>I7="X"</formula>
    </cfRule>
    <cfRule type="expression" dxfId="30" priority="1743">
      <formula>I7="Z"</formula>
    </cfRule>
    <cfRule type="expression" dxfId="29" priority="1750">
      <formula>I7="B"</formula>
    </cfRule>
  </conditionalFormatting>
  <conditionalFormatting sqref="I7:I116 I137:I210 I285:I304 I227:I271 I118:I132 I134:I135 I212:I225 I273:I283 I306:I1048576">
    <cfRule type="expression" dxfId="28" priority="1674">
      <formula>I7="Y"</formula>
    </cfRule>
  </conditionalFormatting>
  <conditionalFormatting sqref="J10">
    <cfRule type="expression" dxfId="27" priority="1689">
      <formula>$J$10&lt;=$C$112</formula>
    </cfRule>
  </conditionalFormatting>
  <conditionalFormatting sqref="J11">
    <cfRule type="expression" dxfId="26" priority="68">
      <formula>$J$11&lt;=0</formula>
    </cfRule>
  </conditionalFormatting>
  <conditionalFormatting sqref="J12">
    <cfRule type="expression" dxfId="25" priority="67">
      <formula>$J$12&lt;=0</formula>
    </cfRule>
  </conditionalFormatting>
  <conditionalFormatting sqref="J30">
    <cfRule type="expression" dxfId="24" priority="1764">
      <formula>AND($J$30&lt;&gt;$C$147, $J$30&lt;&gt;$C$152)</formula>
    </cfRule>
  </conditionalFormatting>
  <conditionalFormatting sqref="J47">
    <cfRule type="expression" dxfId="23" priority="1765">
      <formula>$J$47&lt;&gt;$C$150</formula>
    </cfRule>
  </conditionalFormatting>
  <conditionalFormatting sqref="J55">
    <cfRule type="expression" dxfId="22" priority="1766">
      <formula>$J$55&lt;&gt;$C$151</formula>
    </cfRule>
  </conditionalFormatting>
  <conditionalFormatting sqref="J100">
    <cfRule type="expression" dxfId="21" priority="1767">
      <formula>$J$100&lt;&gt;$C$149</formula>
    </cfRule>
  </conditionalFormatting>
  <conditionalFormatting sqref="J118">
    <cfRule type="expression" dxfId="20" priority="190">
      <formula>OR($J$118&lt;&gt;#REF!, #REF!&lt;&gt;#REF!, #REF!&lt;&gt;$J$118)</formula>
    </cfRule>
  </conditionalFormatting>
  <conditionalFormatting sqref="J145 J158 J170">
    <cfRule type="expression" dxfId="19" priority="1773">
      <formula>$J$145&lt;&gt;$C$157</formula>
    </cfRule>
  </conditionalFormatting>
  <conditionalFormatting sqref="J180">
    <cfRule type="expression" dxfId="18" priority="1776">
      <formula>$J$180&lt;&gt;$C$159</formula>
    </cfRule>
  </conditionalFormatting>
  <conditionalFormatting sqref="J201">
    <cfRule type="expression" dxfId="17" priority="1777">
      <formula>$J$201&lt;&gt;$C$160</formula>
    </cfRule>
  </conditionalFormatting>
  <conditionalFormatting sqref="J215">
    <cfRule type="expression" dxfId="16" priority="1794">
      <formula>$J$215&lt;&gt;$C$162</formula>
    </cfRule>
  </conditionalFormatting>
  <conditionalFormatting sqref="J237">
    <cfRule type="expression" dxfId="15" priority="1778">
      <formula>$C$23&lt;&gt;1</formula>
    </cfRule>
    <cfRule type="expression" dxfId="14" priority="1779">
      <formula>$J$237&lt;&gt;$C$157</formula>
    </cfRule>
  </conditionalFormatting>
  <conditionalFormatting sqref="J249">
    <cfRule type="expression" dxfId="13" priority="1780">
      <formula>$J$249&lt;&gt;$C$158</formula>
    </cfRule>
  </conditionalFormatting>
  <conditionalFormatting sqref="J262">
    <cfRule type="expression" dxfId="12" priority="1781">
      <formula>$J$262&lt;&gt;$C$160</formula>
    </cfRule>
  </conditionalFormatting>
  <conditionalFormatting sqref="J287 J276">
    <cfRule type="expression" dxfId="11" priority="1795">
      <formula>$J$276&lt;&gt;$C$162</formula>
    </cfRule>
  </conditionalFormatting>
  <conditionalFormatting sqref="J306">
    <cfRule type="expression" dxfId="10" priority="131">
      <formula>OR($J$306&lt;=1, INT($J$306)&lt;&gt;$J$306)</formula>
    </cfRule>
  </conditionalFormatting>
  <conditionalFormatting sqref="J307">
    <cfRule type="expression" dxfId="9" priority="123">
      <formula>OR($J$307&lt;0, INT($J$307)&lt;&gt;$J$307)</formula>
    </cfRule>
  </conditionalFormatting>
  <conditionalFormatting sqref="J308">
    <cfRule type="expression" dxfId="8" priority="128">
      <formula>OR($J$308&lt;1, INT($J$308)&lt;&gt;$J$308)</formula>
    </cfRule>
  </conditionalFormatting>
  <conditionalFormatting sqref="J309">
    <cfRule type="expression" dxfId="7" priority="127">
      <formula>OR($J$309&lt;0, INT($J$309)&lt;&gt;$J$309)</formula>
    </cfRule>
  </conditionalFormatting>
  <conditionalFormatting sqref="J333">
    <cfRule type="expression" dxfId="6" priority="1768">
      <formula>$J$333&lt;=$C$143/2+$C$144</formula>
    </cfRule>
  </conditionalFormatting>
  <conditionalFormatting sqref="J137:K137 J138 J139:K139 K140 J141:K141 J179 J200 J214 J229 J236 J261 J275">
    <cfRule type="expression" dxfId="5" priority="1782">
      <formula>$J$139&lt;&gt;$C$156</formula>
    </cfRule>
  </conditionalFormatting>
  <conditionalFormatting sqref="P2 C20">
    <cfRule type="expression" dxfId="4" priority="129">
      <formula>ISERROR(INDIRECT($P$2&amp;"!$G$45"))</formula>
    </cfRule>
  </conditionalFormatting>
  <conditionalFormatting sqref="P115:P117 J337:J352">
    <cfRule type="expression" dxfId="3" priority="126">
      <formula>$J$309&lt;0</formula>
    </cfRule>
  </conditionalFormatting>
  <conditionalFormatting sqref="P169:P182">
    <cfRule type="expression" dxfId="2" priority="125">
      <formula>$J$309&lt;0</formula>
    </cfRule>
  </conditionalFormatting>
  <conditionalFormatting sqref="C98">
    <cfRule type="expression" dxfId="1" priority="1">
      <formula>OR(ISBLANK($C$98), AND($C$98&lt;&gt;0, $C$98&lt;&gt;1))</formula>
    </cfRule>
  </conditionalFormatting>
  <dataValidations count="23">
    <dataValidation imeMode="disabled" allowBlank="1" showInputMessage="1" showErrorMessage="1" sqref="P169:P182 J7:K7 C140:C141 I7:I14 P2:Q2 J9:K14 C87 C31 C109:C121 C89:C90 C80 C82:C83 C73 C75:C76 C94 C69 C17:C18 C92 C71 C78 C85 C168:C169 C96:C97 P115:P117 C45 C36:C42 C184:C1048576 C104 C4 P3 C145:C146 I2:I5 J4:K5 C7:C9 C12:C13 I15:K1048576 C48:C59 C20:C22 C123:C124 D2:E1048576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4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104775</xdr:colOff>
                    <xdr:row>1</xdr:row>
                    <xdr:rowOff>95250</xdr:rowOff>
                  </from>
                  <to>
                    <xdr:col>3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CB947-A83C-4A0C-B35A-C36C3D53176F}">
  <dimension ref="A1:H38"/>
  <sheetViews>
    <sheetView workbookViewId="0">
      <selection activeCell="D6" sqref="D6"/>
    </sheetView>
  </sheetViews>
  <sheetFormatPr defaultRowHeight="15" x14ac:dyDescent="0.4"/>
  <cols>
    <col min="1" max="1" width="5" style="89" bestFit="1" customWidth="1"/>
    <col min="2" max="3" width="7.75" style="90" bestFit="1" customWidth="1"/>
    <col min="4" max="4" width="6" style="89" bestFit="1" customWidth="1"/>
    <col min="5" max="5" width="6.875" style="91" bestFit="1" customWidth="1"/>
    <col min="6" max="6" width="7" style="91" bestFit="1" customWidth="1"/>
    <col min="7" max="7" width="7.625" style="91" bestFit="1" customWidth="1"/>
    <col min="8" max="8" width="8.625" style="90" customWidth="1"/>
    <col min="9" max="16384" width="9" style="89"/>
  </cols>
  <sheetData>
    <row r="1" spans="1:7" x14ac:dyDescent="0.4">
      <c r="A1" s="89" t="s">
        <v>660</v>
      </c>
      <c r="B1" s="90" t="s">
        <v>661</v>
      </c>
      <c r="C1" s="90" t="s">
        <v>662</v>
      </c>
      <c r="D1" s="89" t="s">
        <v>663</v>
      </c>
      <c r="E1" s="91" t="s">
        <v>664</v>
      </c>
      <c r="F1" s="91" t="s">
        <v>665</v>
      </c>
      <c r="G1" s="91" t="s">
        <v>666</v>
      </c>
    </row>
    <row r="2" spans="1:7" x14ac:dyDescent="0.4">
      <c r="A2" s="89">
        <v>0</v>
      </c>
      <c r="B2" s="90">
        <v>156.81401534334941</v>
      </c>
      <c r="C2" s="90">
        <v>155.8000223569716</v>
      </c>
      <c r="D2" s="90">
        <f>4.5-$A2/$A$38</f>
        <v>4.5</v>
      </c>
      <c r="E2" s="91" t="s">
        <v>75</v>
      </c>
      <c r="F2" s="91" t="s">
        <v>75</v>
      </c>
      <c r="G2" s="91" t="s">
        <v>75</v>
      </c>
    </row>
    <row r="3" spans="1:7" x14ac:dyDescent="0.4">
      <c r="A3" s="89">
        <v>25</v>
      </c>
      <c r="B3" s="90">
        <v>156.69159117721759</v>
      </c>
      <c r="C3" s="90">
        <v>155.67838981170061</v>
      </c>
      <c r="D3" s="90">
        <f t="shared" ref="D3:D38" si="0">4.5-$A3/$A$38</f>
        <v>4.4722222222222223</v>
      </c>
      <c r="E3" s="91">
        <f t="shared" ref="E3:F18" si="1">IF($A3="","",(B2-B3)*1000/(B2*($A3-$A2))*100)</f>
        <v>3.1227863367638409</v>
      </c>
      <c r="F3" s="91">
        <f t="shared" si="1"/>
        <v>3.1227863367643778</v>
      </c>
      <c r="G3" s="91">
        <f>AVERAGE(E3,F3)</f>
        <v>3.1227863367641095</v>
      </c>
    </row>
    <row r="4" spans="1:7" x14ac:dyDescent="0.4">
      <c r="A4" s="89">
        <v>50</v>
      </c>
      <c r="B4" s="90">
        <v>156.56926258721407</v>
      </c>
      <c r="C4" s="90">
        <v>155.55685222454224</v>
      </c>
      <c r="D4" s="90">
        <f t="shared" si="0"/>
        <v>4.4444444444444446</v>
      </c>
      <c r="E4" s="91">
        <f t="shared" si="1"/>
        <v>3.1227863367643307</v>
      </c>
      <c r="F4" s="91">
        <f t="shared" si="1"/>
        <v>3.122786336764567</v>
      </c>
      <c r="G4" s="91">
        <f t="shared" ref="G4:G38" si="2">AVERAGE(E4,F4)</f>
        <v>3.1227863367644488</v>
      </c>
    </row>
    <row r="5" spans="1:7" x14ac:dyDescent="0.4">
      <c r="A5" s="89">
        <v>75</v>
      </c>
      <c r="B5" s="90">
        <v>156.44702949872294</v>
      </c>
      <c r="C5" s="90">
        <v>155.43540952136303</v>
      </c>
      <c r="D5" s="90">
        <f t="shared" si="0"/>
        <v>4.416666666666667</v>
      </c>
      <c r="E5" s="91">
        <f t="shared" si="1"/>
        <v>3.1227863367636659</v>
      </c>
      <c r="F5" s="91">
        <f t="shared" si="1"/>
        <v>3.1227863367642161</v>
      </c>
      <c r="G5" s="91">
        <f t="shared" si="2"/>
        <v>3.1227863367639408</v>
      </c>
    </row>
    <row r="6" spans="1:7" x14ac:dyDescent="0.4">
      <c r="A6" s="89">
        <v>100</v>
      </c>
      <c r="B6" s="90">
        <v>156.32489183718647</v>
      </c>
      <c r="C6" s="90">
        <v>155.31406162808736</v>
      </c>
      <c r="D6" s="90">
        <f t="shared" si="0"/>
        <v>4.3888888888888893</v>
      </c>
      <c r="E6" s="91">
        <f t="shared" si="1"/>
        <v>3.1227863367637139</v>
      </c>
      <c r="F6" s="91">
        <f t="shared" si="1"/>
        <v>3.1227863367642903</v>
      </c>
      <c r="G6" s="91">
        <f t="shared" si="2"/>
        <v>3.1227863367640021</v>
      </c>
    </row>
    <row r="7" spans="1:7" x14ac:dyDescent="0.4">
      <c r="A7" s="89">
        <v>125</v>
      </c>
      <c r="B7" s="90">
        <v>156.20284952810516</v>
      </c>
      <c r="C7" s="90">
        <v>155.19280847069746</v>
      </c>
      <c r="D7" s="90">
        <f t="shared" si="0"/>
        <v>4.3611111111111107</v>
      </c>
      <c r="E7" s="91">
        <f t="shared" si="1"/>
        <v>3.1227863367637316</v>
      </c>
      <c r="F7" s="91">
        <f t="shared" si="1"/>
        <v>3.1227863367645954</v>
      </c>
      <c r="G7" s="91">
        <f t="shared" si="2"/>
        <v>3.1227863367641637</v>
      </c>
    </row>
    <row r="8" spans="1:7" x14ac:dyDescent="0.4">
      <c r="A8" s="89">
        <v>150</v>
      </c>
      <c r="B8" s="90">
        <v>156.08090249703767</v>
      </c>
      <c r="C8" s="90">
        <v>155.07164997523336</v>
      </c>
      <c r="D8" s="90">
        <f t="shared" si="0"/>
        <v>4.333333333333333</v>
      </c>
      <c r="E8" s="91">
        <f t="shared" si="1"/>
        <v>3.1227863367639923</v>
      </c>
      <c r="F8" s="91">
        <f t="shared" si="1"/>
        <v>3.1227863367645048</v>
      </c>
      <c r="G8" s="91">
        <f t="shared" si="2"/>
        <v>3.1227863367642485</v>
      </c>
    </row>
    <row r="9" spans="1:7" x14ac:dyDescent="0.4">
      <c r="A9" s="89">
        <v>175</v>
      </c>
      <c r="B9" s="90">
        <v>155.95895546597018</v>
      </c>
      <c r="C9" s="90">
        <v>154.95049147976925</v>
      </c>
      <c r="D9" s="90">
        <f t="shared" si="0"/>
        <v>4.3055555555555554</v>
      </c>
      <c r="E9" s="91">
        <f t="shared" si="1"/>
        <v>3.125226190175487</v>
      </c>
      <c r="F9" s="91">
        <f t="shared" si="1"/>
        <v>3.1252261901759995</v>
      </c>
      <c r="G9" s="91">
        <f t="shared" si="2"/>
        <v>3.1252261901757432</v>
      </c>
    </row>
    <row r="10" spans="1:7" x14ac:dyDescent="0.4">
      <c r="A10" s="89">
        <v>200</v>
      </c>
      <c r="B10" s="90">
        <v>155.84853718389309</v>
      </c>
      <c r="C10" s="90">
        <v>154.8407871859371</v>
      </c>
      <c r="D10" s="90">
        <f t="shared" si="0"/>
        <v>4.2777777777777777</v>
      </c>
      <c r="E10" s="91">
        <f t="shared" si="1"/>
        <v>2.8319831136900517</v>
      </c>
      <c r="F10" s="91">
        <f t="shared" si="1"/>
        <v>2.8319831136895868</v>
      </c>
      <c r="G10" s="91">
        <f t="shared" si="2"/>
        <v>2.8319831136898195</v>
      </c>
    </row>
    <row r="11" spans="1:7" x14ac:dyDescent="0.4">
      <c r="A11" s="89">
        <v>225</v>
      </c>
      <c r="B11" s="92">
        <v>155.74862076734124</v>
      </c>
      <c r="C11" s="90">
        <v>154.74151685031995</v>
      </c>
      <c r="D11" s="90">
        <f t="shared" si="0"/>
        <v>4.25</v>
      </c>
      <c r="E11" s="91">
        <f t="shared" si="1"/>
        <v>2.5644492622719515</v>
      </c>
      <c r="F11" s="91">
        <f t="shared" si="1"/>
        <v>2.564449262272023</v>
      </c>
      <c r="G11" s="91">
        <f t="shared" si="2"/>
        <v>2.564449262271987</v>
      </c>
    </row>
    <row r="12" spans="1:7" x14ac:dyDescent="0.4">
      <c r="A12" s="89">
        <v>250</v>
      </c>
      <c r="B12" s="90">
        <v>155.65822980411488</v>
      </c>
      <c r="C12" s="90">
        <v>154.65171037440834</v>
      </c>
      <c r="D12" s="90">
        <f t="shared" si="0"/>
        <v>4.2222222222222223</v>
      </c>
      <c r="E12" s="91">
        <f t="shared" si="1"/>
        <v>2.3214578153184866</v>
      </c>
      <c r="F12" s="91">
        <f t="shared" si="1"/>
        <v>2.3214578153188006</v>
      </c>
      <c r="G12" s="91">
        <f t="shared" si="2"/>
        <v>2.3214578153186434</v>
      </c>
    </row>
    <row r="13" spans="1:7" x14ac:dyDescent="0.4">
      <c r="A13" s="89">
        <v>275</v>
      </c>
      <c r="B13" s="90">
        <v>155.57643822173858</v>
      </c>
      <c r="C13" s="90">
        <v>154.57044767390968</v>
      </c>
      <c r="D13" s="90">
        <f t="shared" si="0"/>
        <v>4.1944444444444446</v>
      </c>
      <c r="E13" s="91">
        <f t="shared" si="1"/>
        <v>2.1018248114276106</v>
      </c>
      <c r="F13" s="91">
        <f t="shared" si="1"/>
        <v>2.1018248114274343</v>
      </c>
      <c r="G13" s="91">
        <f t="shared" si="2"/>
        <v>2.1018248114275222</v>
      </c>
    </row>
    <row r="14" spans="1:7" x14ac:dyDescent="0.4">
      <c r="A14" s="89">
        <v>300</v>
      </c>
      <c r="B14" s="90">
        <v>155.50354552033207</v>
      </c>
      <c r="C14" s="90">
        <v>154.49802631231182</v>
      </c>
      <c r="D14" s="90">
        <f t="shared" si="0"/>
        <v>4.166666666666667</v>
      </c>
      <c r="E14" s="91">
        <f t="shared" si="1"/>
        <v>1.8741321562491235</v>
      </c>
      <c r="F14" s="91">
        <f t="shared" si="1"/>
        <v>1.8741321562487903</v>
      </c>
      <c r="G14" s="91">
        <f t="shared" si="2"/>
        <v>1.8741321562489568</v>
      </c>
    </row>
    <row r="15" spans="1:7" x14ac:dyDescent="0.4">
      <c r="A15" s="89">
        <v>325</v>
      </c>
      <c r="B15" s="90">
        <v>155.43626618399327</v>
      </c>
      <c r="C15" s="90">
        <v>154.43118201856169</v>
      </c>
      <c r="D15" s="90">
        <f t="shared" si="0"/>
        <v>4.1388888888888893</v>
      </c>
      <c r="E15" s="91">
        <f t="shared" si="1"/>
        <v>1.7306187100409951</v>
      </c>
      <c r="F15" s="91">
        <f t="shared" si="1"/>
        <v>1.730618710041347</v>
      </c>
      <c r="G15" s="91">
        <f t="shared" si="2"/>
        <v>1.730618710041171</v>
      </c>
    </row>
    <row r="16" spans="1:7" x14ac:dyDescent="0.4">
      <c r="A16" s="89">
        <v>350</v>
      </c>
      <c r="B16" s="90">
        <v>155.37512324452476</v>
      </c>
      <c r="C16" s="90">
        <v>154.3704344424263</v>
      </c>
      <c r="D16" s="90">
        <f t="shared" si="0"/>
        <v>4.1111111111111107</v>
      </c>
      <c r="E16" s="91">
        <f t="shared" si="1"/>
        <v>1.573453633944967</v>
      </c>
      <c r="F16" s="91">
        <f t="shared" si="1"/>
        <v>1.5734536339450531</v>
      </c>
      <c r="G16" s="91">
        <f t="shared" si="2"/>
        <v>1.57345363394501</v>
      </c>
    </row>
    <row r="17" spans="1:7" x14ac:dyDescent="0.4">
      <c r="A17" s="89">
        <v>375</v>
      </c>
      <c r="B17" s="90">
        <v>155.31939136112649</v>
      </c>
      <c r="C17" s="90">
        <v>154.31506293331449</v>
      </c>
      <c r="D17" s="90">
        <f t="shared" si="0"/>
        <v>4.083333333333333</v>
      </c>
      <c r="E17" s="91">
        <f t="shared" si="1"/>
        <v>1.4347697941467015</v>
      </c>
      <c r="F17" s="91">
        <f t="shared" si="1"/>
        <v>1.4347697941462783</v>
      </c>
      <c r="G17" s="91">
        <f t="shared" si="2"/>
        <v>1.4347697941464899</v>
      </c>
    </row>
    <row r="18" spans="1:7" x14ac:dyDescent="0.4">
      <c r="A18" s="89">
        <v>400</v>
      </c>
      <c r="B18" s="90">
        <v>155.26839559792776</v>
      </c>
      <c r="C18" s="90">
        <v>154.26439691963532</v>
      </c>
      <c r="D18" s="90">
        <f t="shared" si="0"/>
        <v>4.0555555555555554</v>
      </c>
      <c r="E18" s="91">
        <f t="shared" si="1"/>
        <v>1.3133134955482693</v>
      </c>
      <c r="F18" s="91">
        <f t="shared" si="1"/>
        <v>1.3133134955482941</v>
      </c>
      <c r="G18" s="91">
        <f t="shared" si="2"/>
        <v>1.3133134955482817</v>
      </c>
    </row>
    <row r="19" spans="1:7" x14ac:dyDescent="0.4">
      <c r="A19" s="89">
        <v>425</v>
      </c>
      <c r="B19" s="90">
        <v>155.22151142398732</v>
      </c>
      <c r="C19" s="90">
        <v>154.21781590879826</v>
      </c>
      <c r="D19" s="90">
        <f t="shared" si="0"/>
        <v>4.0277777777777777</v>
      </c>
      <c r="E19" s="91">
        <f t="shared" ref="E19:F34" si="3">IF($A19="","",(B18-B19)*1000/(B18*($A19-$A18))*100)</f>
        <v>1.2078227191024522</v>
      </c>
      <c r="F19" s="91">
        <f t="shared" si="3"/>
        <v>1.2078227191028552</v>
      </c>
      <c r="G19" s="91">
        <f t="shared" si="2"/>
        <v>1.2078227191026536</v>
      </c>
    </row>
    <row r="20" spans="1:7" x14ac:dyDescent="0.4">
      <c r="A20" s="89">
        <v>450</v>
      </c>
      <c r="B20" s="90">
        <v>155.17816471329317</v>
      </c>
      <c r="C20" s="90">
        <v>154.17474948721303</v>
      </c>
      <c r="D20" s="90">
        <f t="shared" si="0"/>
        <v>4</v>
      </c>
      <c r="E20" s="91">
        <f t="shared" si="3"/>
        <v>1.1170284401045576</v>
      </c>
      <c r="F20" s="91">
        <f t="shared" si="3"/>
        <v>1.1170284401042734</v>
      </c>
      <c r="G20" s="91">
        <f t="shared" si="2"/>
        <v>1.1170284401044155</v>
      </c>
    </row>
    <row r="21" spans="1:7" x14ac:dyDescent="0.4">
      <c r="A21" s="89">
        <v>475</v>
      </c>
      <c r="B21" s="90">
        <v>155.13783177574703</v>
      </c>
      <c r="C21" s="90">
        <v>154.13467735107358</v>
      </c>
      <c r="D21" s="90">
        <f t="shared" si="0"/>
        <v>3.9722222222222223</v>
      </c>
      <c r="E21" s="91">
        <f t="shared" si="3"/>
        <v>1.0396549700316071</v>
      </c>
      <c r="F21" s="91">
        <f t="shared" si="3"/>
        <v>1.0396549700320643</v>
      </c>
      <c r="G21" s="91">
        <f t="shared" si="2"/>
        <v>1.0396549700318358</v>
      </c>
    </row>
    <row r="22" spans="1:7" x14ac:dyDescent="0.4">
      <c r="A22" s="89">
        <v>500</v>
      </c>
      <c r="B22" s="90">
        <v>155.10003923138305</v>
      </c>
      <c r="C22" s="90">
        <v>154.09712918139027</v>
      </c>
      <c r="D22" s="90">
        <f t="shared" si="0"/>
        <v>3.9444444444444446</v>
      </c>
      <c r="E22" s="91">
        <f t="shared" si="3"/>
        <v>0.97442497246217741</v>
      </c>
      <c r="F22" s="91">
        <f t="shared" si="3"/>
        <v>0.97442497246174298</v>
      </c>
      <c r="G22" s="91">
        <f t="shared" si="2"/>
        <v>0.97442497246196025</v>
      </c>
    </row>
    <row r="23" spans="1:7" x14ac:dyDescent="0.4">
      <c r="A23" s="89">
        <v>525</v>
      </c>
      <c r="B23" s="90">
        <v>155.06436420212194</v>
      </c>
      <c r="C23" s="90">
        <v>154.06168483450395</v>
      </c>
      <c r="D23" s="90">
        <f t="shared" si="0"/>
        <v>3.9166666666666665</v>
      </c>
      <c r="E23" s="91">
        <f t="shared" si="3"/>
        <v>0.92005210154441697</v>
      </c>
      <c r="F23" s="91">
        <f t="shared" si="3"/>
        <v>0.92005210154435102</v>
      </c>
      <c r="G23" s="91">
        <f t="shared" si="2"/>
        <v>0.92005210154438399</v>
      </c>
    </row>
    <row r="24" spans="1:7" x14ac:dyDescent="0.4">
      <c r="A24" s="89">
        <v>550</v>
      </c>
      <c r="B24" s="90">
        <v>155.03043418162915</v>
      </c>
      <c r="C24" s="90">
        <v>154.02797421278575</v>
      </c>
      <c r="D24" s="90">
        <f t="shared" si="0"/>
        <v>3.8888888888888888</v>
      </c>
      <c r="E24" s="91">
        <f t="shared" si="3"/>
        <v>0.87524998196394554</v>
      </c>
      <c r="F24" s="91">
        <f t="shared" si="3"/>
        <v>0.87524998196436243</v>
      </c>
      <c r="G24" s="91">
        <f t="shared" si="2"/>
        <v>0.87524998196415393</v>
      </c>
    </row>
    <row r="25" spans="1:7" x14ac:dyDescent="0.4">
      <c r="A25" s="89">
        <v>575</v>
      </c>
      <c r="B25" s="90">
        <v>154.99792706849959</v>
      </c>
      <c r="C25" s="90">
        <v>153.99567729760724</v>
      </c>
      <c r="D25" s="90">
        <f t="shared" si="0"/>
        <v>3.8611111111111112</v>
      </c>
      <c r="E25" s="91">
        <f t="shared" si="3"/>
        <v>0.83872855807060609</v>
      </c>
      <c r="F25" s="91">
        <f t="shared" si="3"/>
        <v>0.83872855807059032</v>
      </c>
      <c r="G25" s="91">
        <f t="shared" si="2"/>
        <v>0.83872855807059821</v>
      </c>
    </row>
    <row r="26" spans="1:7" x14ac:dyDescent="0.4">
      <c r="A26" s="89">
        <v>600</v>
      </c>
      <c r="B26" s="90">
        <v>154.96657116625749</v>
      </c>
      <c r="C26" s="90">
        <v>153.96452414934021</v>
      </c>
      <c r="D26" s="90">
        <f t="shared" si="0"/>
        <v>3.8333333333333335</v>
      </c>
      <c r="E26" s="91">
        <f t="shared" si="3"/>
        <v>0.80919539596784695</v>
      </c>
      <c r="F26" s="91">
        <f t="shared" si="3"/>
        <v>0.80919539596769119</v>
      </c>
      <c r="G26" s="91">
        <f t="shared" si="2"/>
        <v>0.80919539596776913</v>
      </c>
    </row>
    <row r="27" spans="1:7" x14ac:dyDescent="0.4">
      <c r="A27" s="89">
        <v>625</v>
      </c>
      <c r="B27" s="90">
        <v>154.93614518335653</v>
      </c>
      <c r="C27" s="90">
        <v>153.93429490735681</v>
      </c>
      <c r="D27" s="90">
        <f t="shared" si="0"/>
        <v>3.8055555555555554</v>
      </c>
      <c r="E27" s="91">
        <f t="shared" si="3"/>
        <v>0.78535603316207803</v>
      </c>
      <c r="F27" s="91">
        <f t="shared" si="3"/>
        <v>0.7853560331617826</v>
      </c>
      <c r="G27" s="91">
        <f t="shared" si="2"/>
        <v>0.78535603316193026</v>
      </c>
    </row>
    <row r="28" spans="1:7" x14ac:dyDescent="0.4">
      <c r="A28" s="89">
        <v>650</v>
      </c>
      <c r="B28" s="90">
        <v>154.90647823317966</v>
      </c>
      <c r="C28" s="90">
        <v>153.90481979002945</v>
      </c>
      <c r="D28" s="90">
        <f t="shared" si="0"/>
        <v>3.7777777777777777</v>
      </c>
      <c r="E28" s="91">
        <f t="shared" si="3"/>
        <v>0.76591424529804486</v>
      </c>
      <c r="F28" s="91">
        <f t="shared" si="3"/>
        <v>0.76591424529808594</v>
      </c>
      <c r="G28" s="91">
        <f t="shared" si="2"/>
        <v>0.7659142452980654</v>
      </c>
    </row>
    <row r="29" spans="1:7" x14ac:dyDescent="0.4">
      <c r="A29" s="89">
        <v>675</v>
      </c>
      <c r="B29" s="90">
        <v>154.87744983403928</v>
      </c>
      <c r="C29" s="90">
        <v>153.87597909473092</v>
      </c>
      <c r="D29" s="90">
        <f t="shared" si="0"/>
        <v>3.75</v>
      </c>
      <c r="E29" s="91">
        <f t="shared" si="3"/>
        <v>0.74957224440094328</v>
      </c>
      <c r="F29" s="91">
        <f t="shared" si="3"/>
        <v>0.74957224440076597</v>
      </c>
      <c r="G29" s="91">
        <f t="shared" si="2"/>
        <v>0.74957224440085457</v>
      </c>
    </row>
    <row r="30" spans="1:7" s="90" customFormat="1" x14ac:dyDescent="0.4">
      <c r="A30" s="89">
        <v>700</v>
      </c>
      <c r="B30" s="90">
        <v>154.84898990917716</v>
      </c>
      <c r="C30" s="90">
        <v>153.84770319783428</v>
      </c>
      <c r="D30" s="90">
        <f t="shared" si="0"/>
        <v>3.7222222222222223</v>
      </c>
      <c r="E30" s="91">
        <f t="shared" si="3"/>
        <v>0.73503082321191837</v>
      </c>
      <c r="F30" s="91">
        <f t="shared" si="3"/>
        <v>0.7350308232121725</v>
      </c>
      <c r="G30" s="91">
        <f t="shared" si="2"/>
        <v>0.73503082321204549</v>
      </c>
    </row>
    <row r="31" spans="1:7" x14ac:dyDescent="0.4">
      <c r="A31" s="89">
        <v>725</v>
      </c>
      <c r="B31" s="90">
        <v>154.82107878676439</v>
      </c>
      <c r="C31" s="90">
        <v>153.81997255471288</v>
      </c>
      <c r="D31" s="90">
        <f t="shared" si="0"/>
        <v>3.6944444444444446</v>
      </c>
      <c r="E31" s="91">
        <f t="shared" si="3"/>
        <v>0.72098946022560895</v>
      </c>
      <c r="F31" s="91">
        <f t="shared" si="3"/>
        <v>0.72098946022593247</v>
      </c>
      <c r="G31" s="91">
        <f t="shared" si="2"/>
        <v>0.72098946022577071</v>
      </c>
    </row>
    <row r="32" spans="1:7" x14ac:dyDescent="0.4">
      <c r="A32" s="89">
        <v>750</v>
      </c>
      <c r="B32" s="90">
        <v>154.79374719990147</v>
      </c>
      <c r="C32" s="90">
        <v>153.79281769974045</v>
      </c>
      <c r="D32" s="90">
        <f t="shared" si="0"/>
        <v>3.6666666666666665</v>
      </c>
      <c r="E32" s="91">
        <f t="shared" si="3"/>
        <v>0.70614640014381824</v>
      </c>
      <c r="F32" s="91">
        <f t="shared" si="3"/>
        <v>0.70614640014356145</v>
      </c>
      <c r="G32" s="91">
        <f t="shared" si="2"/>
        <v>0.7061464001436899</v>
      </c>
    </row>
    <row r="33" spans="1:7" x14ac:dyDescent="0.4">
      <c r="A33" s="89">
        <v>775</v>
      </c>
      <c r="B33" s="90">
        <v>154.76707628661828</v>
      </c>
      <c r="C33" s="90">
        <v>153.76631924629098</v>
      </c>
      <c r="D33" s="90">
        <f t="shared" si="0"/>
        <v>3.6388888888888888</v>
      </c>
      <c r="E33" s="91">
        <f t="shared" si="3"/>
        <v>0.68919872451320008</v>
      </c>
      <c r="F33" s="91">
        <f t="shared" si="3"/>
        <v>0.68919872451291808</v>
      </c>
      <c r="G33" s="91">
        <f t="shared" si="2"/>
        <v>0.68919872451305908</v>
      </c>
    </row>
    <row r="34" spans="1:7" x14ac:dyDescent="0.4">
      <c r="A34" s="89">
        <v>800</v>
      </c>
      <c r="B34" s="90">
        <v>154.74119758987408</v>
      </c>
      <c r="C34" s="90">
        <v>153.74060788673879</v>
      </c>
      <c r="D34" s="90">
        <f t="shared" si="0"/>
        <v>3.6111111111111112</v>
      </c>
      <c r="E34" s="91">
        <f t="shared" si="3"/>
        <v>0.66884242734611088</v>
      </c>
      <c r="F34" s="91">
        <f t="shared" si="3"/>
        <v>0.6688424273460718</v>
      </c>
      <c r="G34" s="91">
        <f t="shared" si="2"/>
        <v>0.66884242734609134</v>
      </c>
    </row>
    <row r="35" spans="1:7" x14ac:dyDescent="0.4">
      <c r="A35" s="89">
        <v>825</v>
      </c>
      <c r="B35" s="90">
        <v>154.71629305755746</v>
      </c>
      <c r="C35" s="90">
        <v>153.71586439245849</v>
      </c>
      <c r="D35" s="90">
        <f t="shared" si="0"/>
        <v>3.5833333333333335</v>
      </c>
      <c r="E35" s="91">
        <f t="shared" ref="E35:F38" si="4">IF($A35="","",(B34-B35)*1000/(B34*($A35-$A34))*100)</f>
        <v>0.6437725106049248</v>
      </c>
      <c r="F35" s="91">
        <f t="shared" si="4"/>
        <v>0.64377251060512808</v>
      </c>
      <c r="G35" s="91">
        <f t="shared" si="2"/>
        <v>0.64377251060502649</v>
      </c>
    </row>
    <row r="36" spans="1:7" x14ac:dyDescent="0.4">
      <c r="A36" s="89">
        <v>850</v>
      </c>
      <c r="B36" s="90">
        <v>154.69259504248643</v>
      </c>
      <c r="C36" s="90">
        <v>153.69231961382502</v>
      </c>
      <c r="D36" s="90">
        <f t="shared" si="0"/>
        <v>3.5555555555555554</v>
      </c>
      <c r="E36" s="91">
        <f t="shared" si="4"/>
        <v>0.61268311443365897</v>
      </c>
      <c r="F36" s="91">
        <f t="shared" si="4"/>
        <v>0.6126831144338214</v>
      </c>
      <c r="G36" s="91">
        <f t="shared" si="2"/>
        <v>0.61268311443374013</v>
      </c>
    </row>
    <row r="37" spans="1:7" x14ac:dyDescent="0.4">
      <c r="A37" s="89">
        <v>875</v>
      </c>
      <c r="B37" s="90">
        <v>154.67038630240836</v>
      </c>
      <c r="C37" s="90">
        <v>153.67025448021369</v>
      </c>
      <c r="D37" s="90">
        <f t="shared" si="0"/>
        <v>3.5277777777777777</v>
      </c>
      <c r="E37" s="91">
        <f t="shared" si="4"/>
        <v>0.57426769709231873</v>
      </c>
      <c r="F37" s="91">
        <f t="shared" si="4"/>
        <v>0.57426769709187397</v>
      </c>
      <c r="G37" s="91">
        <f t="shared" si="2"/>
        <v>0.57426769709209635</v>
      </c>
    </row>
    <row r="38" spans="1:7" x14ac:dyDescent="0.4">
      <c r="A38" s="89">
        <v>900</v>
      </c>
      <c r="B38" s="90">
        <v>154.65</v>
      </c>
      <c r="C38" s="90">
        <v>153.65</v>
      </c>
      <c r="D38" s="90">
        <f t="shared" si="0"/>
        <v>3.5</v>
      </c>
      <c r="E38" s="91">
        <f t="shared" si="4"/>
        <v>0.52721927954574876</v>
      </c>
      <c r="F38" s="91">
        <f t="shared" si="4"/>
        <v>0.5272192795460714</v>
      </c>
      <c r="G38" s="91">
        <f t="shared" si="2"/>
        <v>0.52721927954591008</v>
      </c>
    </row>
  </sheetData>
  <phoneticPr fontId="1"/>
  <conditionalFormatting sqref="B2:D38">
    <cfRule type="expression" dxfId="0" priority="1">
      <formula>$A2&lt;&gt;""</formula>
    </cfRule>
  </conditionalFormatting>
  <dataValidations count="1">
    <dataValidation imeMode="disabled" allowBlank="1" showInputMessage="1" showErrorMessage="1" sqref="H1:H1048576 A1:D1048576" xr:uid="{3853D2B7-5242-4562-A635-9B5E01F03678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infomation</vt:lpstr>
      <vt:lpstr>e00941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2024-08-02T04:58:48Z</dcterms:modified>
</cp:coreProperties>
</file>